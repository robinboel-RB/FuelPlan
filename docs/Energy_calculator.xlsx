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BE1A3A\Documents\Personal\BSNS\RT Fueling\"/>
    </mc:Choice>
  </mc:AlternateContent>
  <xr:revisionPtr revIDLastSave="29" documentId="13_ncr:1_{3AC00AFB-A5C7-4833-AC9C-928DA9EB6E3B}" xr6:coauthVersionLast="47" xr6:coauthVersionMax="47" xr10:uidLastSave="{E0AAD29F-1C13-4CD4-94FE-72CC181DB40C}"/>
  <bookViews>
    <workbookView xWindow="-120" yWindow="-120" windowWidth="29040" windowHeight="17520" xr2:uid="{00000000-000D-0000-FFFF-FFFF00000000}"/>
  </bookViews>
  <sheets>
    <sheet name="Calculator"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1" i="1" l="1"/>
  <c r="C55" i="1"/>
  <c r="C44" i="1"/>
  <c r="C56" i="1"/>
  <c r="C20" i="1"/>
  <c r="H61" i="1"/>
  <c r="C82" i="1"/>
  <c r="D113" i="1"/>
  <c r="H63" i="1"/>
  <c r="H62" i="1"/>
  <c r="O63" i="1"/>
  <c r="N63" i="1"/>
  <c r="C76" i="1"/>
  <c r="C32" i="1"/>
  <c r="C17" i="1"/>
  <c r="C18" i="1" s="1"/>
  <c r="C87" i="1" l="1"/>
  <c r="C85" i="1"/>
  <c r="E113" i="1" s="1"/>
  <c r="C19" i="1"/>
  <c r="E114" i="1" l="1"/>
  <c r="C69" i="1"/>
  <c r="D114" i="1"/>
  <c r="C78" i="1"/>
  <c r="C77" i="1"/>
  <c r="C72" i="1"/>
  <c r="G61" i="1"/>
  <c r="G62" i="1"/>
  <c r="G63" i="1"/>
  <c r="G64" i="1"/>
  <c r="G60" i="1"/>
  <c r="C49" i="1"/>
  <c r="C52" i="1" s="1"/>
  <c r="B48" i="1"/>
  <c r="G15" i="1"/>
  <c r="G19" i="1"/>
  <c r="G23" i="1"/>
  <c r="G4" i="1"/>
  <c r="I3" i="1"/>
  <c r="G3" i="1" s="1"/>
  <c r="C59" i="1" l="1"/>
  <c r="C60" i="1" s="1"/>
  <c r="D44" i="1"/>
  <c r="C75" i="1"/>
  <c r="C81" i="1" s="1"/>
  <c r="C83" i="1" s="1"/>
  <c r="C62" i="1" l="1"/>
  <c r="C63" i="1"/>
  <c r="C86" i="1"/>
  <c r="B93" i="1" a="1"/>
  <c r="C99" i="1" s="1"/>
  <c r="B92" i="1" a="1"/>
  <c r="E111" i="1" l="1"/>
  <c r="C100" i="1"/>
  <c r="E112" i="1" s="1"/>
  <c r="C97" i="1"/>
  <c r="C95" i="1"/>
  <c r="B93" i="1"/>
  <c r="B92" i="1"/>
  <c r="D111" i="1" l="1"/>
  <c r="C98" i="1"/>
  <c r="D11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tc={D0B89FC5-FB35-4046-A6D4-B2A236D08CB3}</author>
    <author>tc={97B7E93C-C26E-4AD2-9CED-864AFAC43293}</author>
    <author>tc={158471DB-E808-45A4-B886-1A5717460954}</author>
    <author>tc={0470C377-9C02-429A-954E-43D3520D7503}</author>
  </authors>
  <commentList>
    <comment ref="A6" authorId="0" shapeId="0" xr:uid="{D0B89FC5-FB35-4046-A6D4-B2A236D08CB3}">
      <text>
        <t>[Threaded comment]
Your version of Excel allows you to read this threaded comment; however, any edits to it will get removed if the file is opened in a newer version of Excel. Learn more: https://go.microsoft.com/fwlink/?linkid=870924
Comment:
    Can be dynamic in long events</t>
      </text>
    </comment>
    <comment ref="A12" authorId="1" shapeId="0" xr:uid="{97B7E93C-C26E-4AD2-9CED-864AFAC43293}">
      <text>
        <t>[Threaded comment]
Your version of Excel allows you to read this threaded comment; however, any edits to it will get removed if the file is opened in a newer version of Excel. Learn more: https://go.microsoft.com/fwlink/?linkid=870924
Comment:
    Can be dynamic due to elevation via Wehrlin and Hallén eq</t>
      </text>
    </comment>
    <comment ref="C55" authorId="2" shapeId="0" xr:uid="{158471DB-E808-45A4-B886-1A5717460954}">
      <text>
        <t xml:space="preserve">[Threaded comment]
Your version of Excel allows you to read this threaded comment; however, any edits to it will get removed if the file is opened in a newer version of Excel. Learn more: https://go.microsoft.com/fwlink/?linkid=870924
Comment:
    0.0004 voor een getrainde ultra-loper, 0.0006 voor een recreant </t>
      </text>
    </comment>
    <comment ref="C69" authorId="3" shapeId="0" xr:uid="{0470C377-9C02-429A-954E-43D3520D7503}">
      <text>
        <t xml:space="preserve">[Threaded comment]
Your version of Excel allows you to read this threaded comment; however, any edits to it will get removed if the file is opened in a newer version of Excel. Learn more: https://go.microsoft.com/fwlink/?linkid=870924
Comment:
    4.82kcal/literO2 is the energy you get by using 1 liter O2 at a resting RER of 0.82, 
which corresponds with the standard MET equal to 3.5 ml/kg/min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<sst xmlns="http://schemas.openxmlformats.org/spreadsheetml/2006/main" count="246" uniqueCount="197">
  <si>
    <t>Section 1: Static User Inputs</t>
  </si>
  <si>
    <t>Inputs</t>
  </si>
  <si>
    <t>Extra formulas if users don't know input parameters:</t>
  </si>
  <si>
    <t>Known inputs</t>
  </si>
  <si>
    <t>RT Fueling</t>
  </si>
  <si>
    <t>Body fat mass</t>
  </si>
  <si>
    <t>Parameter</t>
  </si>
  <si>
    <t>Unit</t>
  </si>
  <si>
    <t>Value</t>
  </si>
  <si>
    <t>BPM</t>
  </si>
  <si>
    <t>Body fat% =</t>
  </si>
  <si>
    <t>BMI:</t>
  </si>
  <si>
    <t>BMI = gewicht in kg/lengte in meter²</t>
  </si>
  <si>
    <t>--&gt; if you are muscular, BMI formula is wrong as it will say you are fat</t>
  </si>
  <si>
    <t>Gender (1=M, 0=F)</t>
  </si>
  <si>
    <t>-</t>
  </si>
  <si>
    <t>Endureance fueling</t>
  </si>
  <si>
    <t>Waist:</t>
  </si>
  <si>
    <t>omtrek van uw taille (waist) in meter</t>
  </si>
  <si>
    <t>--&gt; this formula is more accurate and requires one to measure its waist</t>
  </si>
  <si>
    <t>Age</t>
  </si>
  <si>
    <t>year</t>
  </si>
  <si>
    <t>Total Weight</t>
  </si>
  <si>
    <t>kg</t>
  </si>
  <si>
    <t>Category</t>
  </si>
  <si>
    <t>Men (%)</t>
  </si>
  <si>
    <t>Women (%)</t>
  </si>
  <si>
    <t>Length</t>
  </si>
  <si>
    <t>m</t>
  </si>
  <si>
    <t>Essential Fat</t>
  </si>
  <si>
    <t>2–5%</t>
  </si>
  <si>
    <t>10–13%</t>
  </si>
  <si>
    <t>Resting HR</t>
  </si>
  <si>
    <t>bpm</t>
  </si>
  <si>
    <t>Athletes</t>
  </si>
  <si>
    <t>6–13%</t>
  </si>
  <si>
    <t>14–20%</t>
  </si>
  <si>
    <t>Max HR</t>
  </si>
  <si>
    <t>Fitness</t>
  </si>
  <si>
    <t>14–17%</t>
  </si>
  <si>
    <t>21–24%</t>
  </si>
  <si>
    <t>Body fat percentage (e.g. 0.15)</t>
  </si>
  <si>
    <t>% in 0,00</t>
  </si>
  <si>
    <t>Average</t>
  </si>
  <si>
    <t>18–24%</t>
  </si>
  <si>
    <t>25–31%</t>
  </si>
  <si>
    <t>Geplande carbs/uur</t>
  </si>
  <si>
    <t>g/uur</t>
  </si>
  <si>
    <t>Obese</t>
  </si>
  <si>
    <t>25%+</t>
  </si>
  <si>
    <t>32%+</t>
  </si>
  <si>
    <t>VO2 Max</t>
  </si>
  <si>
    <t>ml/kg/min</t>
  </si>
  <si>
    <t>VO2max</t>
  </si>
  <si>
    <t>Section 1': Static User Inputs - don't need to be filled in</t>
  </si>
  <si>
    <t>Uth-Sørensen-Overgaard-Pedersen estimation --&gt; general use but less accurate as others</t>
  </si>
  <si>
    <t>Derived from above</t>
  </si>
  <si>
    <t>VO2max =</t>
  </si>
  <si>
    <t>HR max</t>
  </si>
  <si>
    <t>HR rest</t>
  </si>
  <si>
    <t>Formula</t>
  </si>
  <si>
    <t>Lean body mass</t>
  </si>
  <si>
    <t>Cooper 12-minute run test --&gt; more accurate, for more fit individuals (probably most usefull for us but requires 'test')</t>
  </si>
  <si>
    <t>BMR very active</t>
  </si>
  <si>
    <t>kcal/day</t>
  </si>
  <si>
    <t>Cunningham eq</t>
  </si>
  <si>
    <t>Run as far as possible on a flat surface (ideally a 400m track) for exactly 12 minutes.</t>
  </si>
  <si>
    <t>BMR active</t>
  </si>
  <si>
    <t xml:space="preserve">Katch-McArdle eq </t>
  </si>
  <si>
    <t>distance (m):</t>
  </si>
  <si>
    <t>BMR base</t>
  </si>
  <si>
    <t>Mifflin-St Jeor eq</t>
  </si>
  <si>
    <t>5-minute power test for cycling --&gt; most accurate but bike needed (good for thiathlon)</t>
  </si>
  <si>
    <t>Use a power meter on a 5min maximum effort test to obtain W/kg</t>
  </si>
  <si>
    <t>W/kg:</t>
  </si>
  <si>
    <t>--&gt; can be obtained by checking power meter on bike and divide it by weight</t>
  </si>
  <si>
    <t>Section 2: Dynamic Segment Inputs - come from real time data</t>
  </si>
  <si>
    <t>Parameters here are dynamic/real time, but we will start with static averages of whole activity</t>
  </si>
  <si>
    <t>Segment speed</t>
  </si>
  <si>
    <t>min/km</t>
  </si>
  <si>
    <t>Segment time</t>
  </si>
  <si>
    <t>time</t>
  </si>
  <si>
    <t>Cumulative time</t>
  </si>
  <si>
    <t>Segment HR</t>
  </si>
  <si>
    <t>Segment slope</t>
  </si>
  <si>
    <t>Cumul. ascent</t>
  </si>
  <si>
    <t>Cumul. Descent</t>
  </si>
  <si>
    <t>Ambient temp</t>
  </si>
  <si>
    <t>°C</t>
  </si>
  <si>
    <t>Terrain factor (1.0 - 1.5)</t>
  </si>
  <si>
    <t>can be obtained from GPS // asphalt/treadmill, high cadence and low bounce = no adjustment needed: N = 1 // hard packed trail: N = 1,05 // Technical/rooty trail: N = 1,12 // Soft sand going to deep mud: N = 1,2-1,5</t>
  </si>
  <si>
    <t>Section 3: Keytel equation = find the energy the person actually burns</t>
  </si>
  <si>
    <t>We take the personalised BMR into account (keytel assumes a 1MET=3,5 wich is not the case if you are muscular), we take Temp correction into account and HR drift (which both cause HR higher than actual energy use)</t>
  </si>
  <si>
    <t>and we take glycogen depletion into account (keytel assumes the person has RER=0,85 however, as carbs deplete, more fats are burned and you get less energy out of carbs at the same HR)</t>
  </si>
  <si>
    <t>Personal BMR</t>
  </si>
  <si>
    <t>Keytel in essence gives the energy you use based on your HR</t>
  </si>
  <si>
    <t>Composition gap</t>
  </si>
  <si>
    <t>kJ/min</t>
  </si>
  <si>
    <t>Drift factor corr.</t>
  </si>
  <si>
    <t>R_start</t>
  </si>
  <si>
    <t>speed/HR</t>
  </si>
  <si>
    <t>--&gt; te berekenen in begin van loop op vlak stuk</t>
  </si>
  <si>
    <t>R_actual</t>
  </si>
  <si>
    <t>--&gt; te berekenen tijdens de activiteit na pakt +2u</t>
  </si>
  <si>
    <t>Drift factor</t>
  </si>
  <si>
    <t>nemen we nu nog niet mee</t>
  </si>
  <si>
    <t>Temp &amp; drift corr.</t>
  </si>
  <si>
    <t>HR_adj</t>
  </si>
  <si>
    <t>Arrhenius-inspired HR correction for Temp + drift factor calculated troughout activity</t>
  </si>
  <si>
    <t>Glycogen depl corr.</t>
  </si>
  <si>
    <t>RER_t</t>
  </si>
  <si>
    <r>
      <t xml:space="preserve">--&gt; RER geeft verhouding CO2 tov O2 weer en impliciet zo de verhouding carbs/fats die je lichaam gebruikt om energie te geven, </t>
    </r>
    <r>
      <rPr>
        <b/>
        <sz val="11"/>
        <color theme="1"/>
        <rFont val="Calibri"/>
        <family val="2"/>
        <scheme val="minor"/>
      </rPr>
      <t>verlaagt doorheen de tijd door gebruik van carbs en stijgt door fueling</t>
    </r>
  </si>
  <si>
    <t>Fuel factor</t>
  </si>
  <si>
    <t>Weir eq.: kcal/min = VO2_dot*(3,941+1,106*RER) --&gt; literO2/min * hoeveel energie je krijgt per liter O2; Het verbranden van vetten levert minder energie op waardoor je voor eenzelfde HR minder energie krijgt</t>
  </si>
  <si>
    <t>keytel corrigeren want die denkt dat we heel de tijd efficient zijn in carbs terwijl onze carbs dalen waardoor we minder energie krijgen bij eenzelfde HR (moet eigenlijk een tijd functie zijn)</t>
  </si>
  <si>
    <t>Eigenlijke formule</t>
  </si>
  <si>
    <t>Keytel: gebruikte energie op basis van HR</t>
  </si>
  <si>
    <t>Keytel eq</t>
  </si>
  <si>
    <t>Intensity level</t>
  </si>
  <si>
    <t>Est. RER</t>
  </si>
  <si>
    <t>kJ/literO2</t>
  </si>
  <si>
    <t>kcal/literO2</t>
  </si>
  <si>
    <t>Use case</t>
  </si>
  <si>
    <t>carbs geven 5,05kcal/literO2</t>
  </si>
  <si>
    <t>%carbs = (RER-0,7)/0,3</t>
  </si>
  <si>
    <t>Keytel met fuel factor</t>
  </si>
  <si>
    <t>all carbs (&gt;90% HRmax)</t>
  </si>
  <si>
    <t>all out, 5k/10k race</t>
  </si>
  <si>
    <t>fats geven 4,69 kcal/literO2</t>
  </si>
  <si>
    <t>VCO2/VO2</t>
  </si>
  <si>
    <t>Keytel zonder correcties</t>
  </si>
  <si>
    <t>high (80-90% HRmax)</t>
  </si>
  <si>
    <t>half marathon, hard trail</t>
  </si>
  <si>
    <t>hoeveelheid carbs</t>
  </si>
  <si>
    <t>g_carb/min</t>
  </si>
  <si>
    <t>Frayn’s Equation (with keytel and RER)</t>
  </si>
  <si>
    <t>moderate (60-80% HRmax)</t>
  </si>
  <si>
    <t>ironman bike/run, steady trail run</t>
  </si>
  <si>
    <t>--&gt; @RER = 0,85 -&gt; carbs = 50%</t>
  </si>
  <si>
    <t>hoeveelheid fats</t>
  </si>
  <si>
    <t>g_fat/min</t>
  </si>
  <si>
    <t>low (&lt;60% HRmax)</t>
  </si>
  <si>
    <t>ultra-marathon, walking/easy hiking</t>
  </si>
  <si>
    <t>all fats</t>
  </si>
  <si>
    <t>completely depleted of carbs</t>
  </si>
  <si>
    <t xml:space="preserve">Section 4: Minetti equation = find the energy the trail requires </t>
  </si>
  <si>
    <t>Personal 1 MET value</t>
  </si>
  <si>
    <t>Keytel loses accuracy on low HR ranges, for example at power hiking a mountain in a trail or with high muscle impact --&gt; minetti accounts for especially steep climbs and concequencial high muscular loads not</t>
  </si>
  <si>
    <t>Personal 1 MET</t>
  </si>
  <si>
    <t xml:space="preserve">well represented by HR (it is the standard fpr cnst-speed gradient running). Minetti does also come short so we take into account corrections: the BMR value is again personalised, economical decay: you start to run bad </t>
  </si>
  <si>
    <t>after a certain amount of time causing more  energy consumption, again glycogen depletion is taken into account and a terrain index is account for as this also is missed by HR and the basic minetti eq (is was calculated on asphalt)</t>
  </si>
  <si>
    <t>Terrain index</t>
  </si>
  <si>
    <t>Minetti in essence gives energy the perfect human requires to go the trail</t>
  </si>
  <si>
    <t>N</t>
  </si>
  <si>
    <t>Economical decay</t>
  </si>
  <si>
    <t>ED</t>
  </si>
  <si>
    <t xml:space="preserve">Total Cap: 0.25 </t>
  </si>
  <si>
    <t>T_tax (time)</t>
  </si>
  <si>
    <t xml:space="preserve">Time tax: 0-12u +0.005/h // 12-24u +0.0025/h // &gt;24u cap at 0.1 </t>
  </si>
  <si>
    <t>V_tax (ascent)</t>
  </si>
  <si>
    <t xml:space="preserve">Vertical tax: +0.01 for every 300D+ </t>
  </si>
  <si>
    <t>I_tax (descent)</t>
  </si>
  <si>
    <t xml:space="preserve">Impact tax: +0.02 for every 300D- </t>
  </si>
  <si>
    <t>Eigenlijk formule</t>
  </si>
  <si>
    <t>Minetti: cost voor beweging</t>
  </si>
  <si>
    <t>J/kg/m</t>
  </si>
  <si>
    <t>--&gt; energie om 1kg lichaamsgewicht over 1meter te verplaatsen; dus om nu naar kJ/min te gaan hebben we gewicht en snelheid nodig</t>
  </si>
  <si>
    <t>snelheid</t>
  </si>
  <si>
    <t>m/min</t>
  </si>
  <si>
    <t>Minetti: energie nodig om je lichaam tegen snelheid x te verplaatsen over bep profiel</t>
  </si>
  <si>
    <t>(on a flat surface, minetti says that the cost for running 1km/h requires exactly 1MET of O2, in line with Leger &amp; Mercier)</t>
  </si>
  <si>
    <t>Minetti zonder correcties</t>
  </si>
  <si>
    <t>Section 5: choose engine &amp; final results</t>
  </si>
  <si>
    <t>Keytel gives actual energy use, Minetti how much it would take to go this trail ideally so Keytel should always be lower exept for when steep/technical sections or very bad drift/fueled, cold etc that cause HR to be unrealiable</t>
  </si>
  <si>
    <t>Nu kan het wel dat je zeer sportief bent waardoor je HR lager hoger zou moeten zijn dan de route vereist (volgens de modellen, die natuurlijk niet op elites zijn afgestemd)</t>
  </si>
  <si>
    <t>Interne motor Keytel</t>
  </si>
  <si>
    <t>Externe vereiste Minetti</t>
  </si>
  <si>
    <t>Internal efficiency</t>
  </si>
  <si>
    <t>The work/The cost</t>
  </si>
  <si>
    <t>Normaal &lt; 1 als alles juist zit qua input data en gemeten input data</t>
  </si>
  <si>
    <t>Total kcal keytel</t>
  </si>
  <si>
    <t>kcal</t>
  </si>
  <si>
    <t>keytel zonder BMR</t>
  </si>
  <si>
    <t>Total kcal minetti</t>
  </si>
  <si>
    <t>minetti zonder BMR</t>
  </si>
  <si>
    <t>Ofcourse, nu moeten we dit nog vertalen naar carbs en vetten… ipv kcal</t>
  </si>
  <si>
    <t>maar dat zit er ergens al wel in verwerkt, die verhouding van wat je verbrand</t>
  </si>
  <si>
    <t>en real time zou je ook eten, dus RER_t verandert voordurend</t>
  </si>
  <si>
    <t>en dan heb je nog drinken en dat effect, dit is enkel eten en kcal :)</t>
  </si>
  <si>
    <t>--&gt; formules getest met een 16k, 1u45min loop van mij</t>
  </si>
  <si>
    <t>Coros</t>
  </si>
  <si>
    <t>keytel</t>
  </si>
  <si>
    <t>minetti</t>
  </si>
  <si>
    <t>active + BMR</t>
  </si>
  <si>
    <t>active</t>
  </si>
  <si>
    <t>active + BMR zonder corr</t>
  </si>
  <si>
    <t>active zonder corr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</si>
</sst>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h:mm:ss;@"/>
  </numFmts>
  <fonts count="9">
    <font>
      <sz val="11"/>
      <color theme="1"/>
      <name val="Calibri"/>
      <family val="2"/>
      <scheme val="minor"/>
    </font>
    <font>
      <b/>
      <sz val="11"/>
      <color rgb="FFFFFFFF"/>
      <name val="Calibri"/>
    </font>
    <font>
      <b/>
      <sz val="11"/>
      <name val="Calibri"/>
    </font>
    <font>
      <b/>
      <sz val="11"/>
      <color theme="1"/>
      <name val="Calibri"/>
      <family val="2"/>
      <scheme val="minor"/>
    </font>
    <font>
      <b/>
      <sz val="11"/>
      <color rgb="FFFFFFFF"/>
      <name val="Calibri"/>
      <family val="2"/>
    </font>
    <font>
      <i/>
      <sz val="11"/>
      <color theme="1"/>
      <name val="Calibri"/>
      <family val="2"/>
      <scheme val="minor"/>
    </font>
    <font>
      <b/>
      <sz val="11"/>
      <name val="Calibri"/>
      <family val="2"/>
    </font>
    <font>
      <u/>
      <sz val="11"/>
      <color theme="1"/>
      <name val="Calibri"/>
      <family val="2"/>
      <scheme val="minor"/>
    </font>
    <font>
      <b/>
      <sz val="11"/>
      <color rgb="FFFF0000"/>
      <name val="Calibri"/>
      <family val="2"/>
      <scheme val="minor"/>
    </font>
  </fonts>
  <fills count="12">
    <fill>
      <patternFill patternType="none"/>
    </fill>
    <fill>
      <patternFill patternType="gray125"/>
    </fill>
    <fill>
      <patternFill patternType="solid">
        <fgColor rgb="FF1F4E79"/>
      </patternFill>
    </fill>
    <fill>
      <patternFill patternType="solid">
        <fgColor rgb="FFD9E1F2"/>
      </patternFill>
    </fill>
    <fill>
      <patternFill patternType="solid">
        <fgColor theme="8" tint="0.59999389629810485"/>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3"/>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0.14999847407452621"/>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1">
    <xf numFmtId="0" fontId="0" fillId="0" borderId="0" xfId="0"/>
    <xf numFmtId="0" fontId="0" fillId="0" borderId="0" xfId="0" applyAlignment="1">
      <alignment vertical="center"/>
    </xf>
    <xf numFmtId="2" fontId="0" fillId="0" borderId="0" xfId="0" applyNumberFormat="1" applyAlignment="1">
      <alignment horizontal="center" vertical="center"/>
    </xf>
    <xf numFmtId="0" fontId="0" fillId="0" borderId="0" xfId="0" quotePrefix="1" applyAlignment="1">
      <alignment vertical="center"/>
    </xf>
    <xf numFmtId="1" fontId="0" fillId="0" borderId="0" xfId="0" applyNumberFormat="1" applyAlignment="1">
      <alignment vertical="center"/>
    </xf>
    <xf numFmtId="0" fontId="0" fillId="0" borderId="0" xfId="0" applyAlignment="1">
      <alignment horizontal="center" vertical="center"/>
    </xf>
    <xf numFmtId="0" fontId="5" fillId="0" borderId="0" xfId="0" applyFont="1" applyAlignment="1">
      <alignment vertical="center"/>
    </xf>
    <xf numFmtId="20" fontId="0" fillId="0" borderId="0" xfId="0" applyNumberFormat="1" applyAlignment="1">
      <alignment vertical="center"/>
    </xf>
    <xf numFmtId="0" fontId="0" fillId="0" borderId="0" xfId="0" applyAlignment="1">
      <alignment horizontal="left" vertical="center"/>
    </xf>
    <xf numFmtId="0" fontId="3" fillId="4" borderId="1" xfId="0" applyFont="1" applyFill="1" applyBorder="1" applyAlignment="1">
      <alignment vertical="center"/>
    </xf>
    <xf numFmtId="0" fontId="0" fillId="4" borderId="2" xfId="0" applyFill="1" applyBorder="1" applyAlignment="1">
      <alignment vertical="center"/>
    </xf>
    <xf numFmtId="0" fontId="0" fillId="5" borderId="4" xfId="0" applyFont="1" applyFill="1" applyBorder="1" applyAlignment="1">
      <alignment vertical="center"/>
    </xf>
    <xf numFmtId="0" fontId="3" fillId="5" borderId="0" xfId="0" applyFont="1" applyFill="1" applyBorder="1" applyAlignment="1">
      <alignment vertical="center"/>
    </xf>
    <xf numFmtId="0" fontId="0" fillId="5" borderId="4" xfId="0" applyFill="1" applyBorder="1" applyAlignment="1">
      <alignment vertical="center"/>
    </xf>
    <xf numFmtId="0" fontId="0" fillId="5" borderId="0" xfId="0" applyFill="1" applyBorder="1" applyAlignment="1">
      <alignment vertical="center"/>
    </xf>
    <xf numFmtId="0" fontId="0" fillId="0" borderId="0" xfId="0" applyBorder="1" applyAlignment="1">
      <alignment horizontal="center" vertical="center"/>
    </xf>
    <xf numFmtId="0" fontId="0" fillId="8" borderId="2" xfId="0" applyFill="1" applyBorder="1" applyAlignment="1">
      <alignment vertical="center"/>
    </xf>
    <xf numFmtId="0" fontId="0" fillId="8" borderId="3" xfId="0" applyFill="1" applyBorder="1" applyAlignment="1">
      <alignment vertical="center"/>
    </xf>
    <xf numFmtId="0" fontId="0" fillId="8" borderId="0" xfId="0" applyFill="1" applyBorder="1" applyAlignment="1">
      <alignment vertical="center"/>
    </xf>
    <xf numFmtId="0" fontId="0" fillId="8" borderId="5" xfId="0" applyFill="1" applyBorder="1" applyAlignment="1">
      <alignment vertical="center"/>
    </xf>
    <xf numFmtId="0" fontId="0" fillId="8" borderId="0" xfId="0" quotePrefix="1" applyFill="1" applyBorder="1" applyAlignment="1">
      <alignment vertical="center"/>
    </xf>
    <xf numFmtId="0" fontId="0" fillId="8" borderId="7" xfId="0" applyFill="1" applyBorder="1" applyAlignment="1">
      <alignment vertical="center"/>
    </xf>
    <xf numFmtId="0" fontId="0" fillId="8" borderId="8" xfId="0" applyFill="1" applyBorder="1" applyAlignment="1">
      <alignment vertical="center"/>
    </xf>
    <xf numFmtId="0" fontId="0" fillId="8" borderId="4" xfId="0" applyFill="1" applyBorder="1" applyAlignment="1">
      <alignment vertical="center"/>
    </xf>
    <xf numFmtId="164" fontId="0" fillId="8" borderId="0" xfId="0" applyNumberFormat="1" applyFill="1" applyBorder="1" applyAlignment="1">
      <alignment horizontal="center" vertical="center"/>
    </xf>
    <xf numFmtId="0" fontId="0" fillId="8" borderId="0" xfId="0" applyFill="1" applyBorder="1" applyAlignment="1">
      <alignment horizontal="right" vertical="center"/>
    </xf>
    <xf numFmtId="2" fontId="0" fillId="8" borderId="0" xfId="0" applyNumberFormat="1" applyFill="1" applyBorder="1" applyAlignment="1">
      <alignment horizontal="center" vertical="center"/>
    </xf>
    <xf numFmtId="0" fontId="3" fillId="8" borderId="4" xfId="0" applyFont="1" applyFill="1" applyBorder="1" applyAlignment="1">
      <alignment vertical="center"/>
    </xf>
    <xf numFmtId="0" fontId="3" fillId="8" borderId="0" xfId="0" applyFont="1" applyFill="1" applyBorder="1" applyAlignment="1">
      <alignment vertical="center"/>
    </xf>
    <xf numFmtId="0" fontId="0" fillId="8" borderId="0" xfId="0" applyFill="1" applyBorder="1" applyAlignment="1">
      <alignment horizontal="center" vertical="center"/>
    </xf>
    <xf numFmtId="0" fontId="0" fillId="8" borderId="6" xfId="0" applyFill="1" applyBorder="1" applyAlignment="1">
      <alignment vertical="center"/>
    </xf>
    <xf numFmtId="0" fontId="0" fillId="0" borderId="7" xfId="0" applyBorder="1" applyAlignment="1">
      <alignment horizontal="center" vertical="center"/>
    </xf>
    <xf numFmtId="0" fontId="3" fillId="8" borderId="1" xfId="0" applyFont="1" applyFill="1" applyBorder="1" applyAlignment="1">
      <alignment vertical="center"/>
    </xf>
    <xf numFmtId="0" fontId="3" fillId="8" borderId="2" xfId="0" applyFont="1" applyFill="1" applyBorder="1" applyAlignment="1">
      <alignment horizontal="center" vertical="center"/>
    </xf>
    <xf numFmtId="0" fontId="3" fillId="8" borderId="2" xfId="0" applyFont="1" applyFill="1" applyBorder="1" applyAlignment="1">
      <alignment horizontal="left" vertical="center"/>
    </xf>
    <xf numFmtId="0" fontId="0" fillId="8" borderId="0" xfId="0" applyFill="1" applyBorder="1" applyAlignment="1">
      <alignment horizontal="left" vertical="center"/>
    </xf>
    <xf numFmtId="0" fontId="0" fillId="8" borderId="7" xfId="0" applyFill="1" applyBorder="1" applyAlignment="1">
      <alignment horizontal="center" vertical="center"/>
    </xf>
    <xf numFmtId="0" fontId="0" fillId="0" borderId="0" xfId="0" applyAlignment="1">
      <alignment horizontal="left" vertical="center" wrapText="1"/>
    </xf>
    <xf numFmtId="2" fontId="0" fillId="7" borderId="3" xfId="0" applyNumberFormat="1" applyFill="1" applyBorder="1" applyAlignment="1">
      <alignment horizontal="center" vertical="center"/>
    </xf>
    <xf numFmtId="0" fontId="3" fillId="6" borderId="5" xfId="0" applyFont="1" applyFill="1" applyBorder="1" applyAlignment="1">
      <alignment horizontal="center" vertical="center"/>
    </xf>
    <xf numFmtId="2" fontId="2" fillId="3" borderId="5" xfId="0" applyNumberFormat="1" applyFont="1" applyFill="1" applyBorder="1" applyAlignment="1">
      <alignment horizontal="center" vertical="center"/>
    </xf>
    <xf numFmtId="1" fontId="0" fillId="0" borderId="5" xfId="0" applyNumberFormat="1" applyBorder="1" applyAlignment="1">
      <alignment horizontal="center" vertical="center"/>
    </xf>
    <xf numFmtId="164" fontId="0" fillId="0" borderId="5" xfId="0" applyNumberFormat="1" applyBorder="1" applyAlignment="1">
      <alignment horizontal="center" vertical="center"/>
    </xf>
    <xf numFmtId="2" fontId="0" fillId="0" borderId="5" xfId="0" applyNumberFormat="1" applyBorder="1" applyAlignment="1">
      <alignment horizontal="center" vertical="center"/>
    </xf>
    <xf numFmtId="0" fontId="0" fillId="0" borderId="5" xfId="0" applyBorder="1" applyAlignment="1">
      <alignment horizontal="center" vertical="center"/>
    </xf>
    <xf numFmtId="1" fontId="0" fillId="0" borderId="8" xfId="0" applyNumberFormat="1" applyBorder="1" applyAlignment="1">
      <alignment horizontal="center" vertical="center"/>
    </xf>
    <xf numFmtId="2" fontId="6" fillId="3" borderId="5" xfId="0" applyNumberFormat="1" applyFont="1" applyFill="1" applyBorder="1" applyAlignment="1">
      <alignment horizontal="center" vertical="center"/>
    </xf>
    <xf numFmtId="2" fontId="0" fillId="9" borderId="8" xfId="0" applyNumberFormat="1" applyFill="1" applyBorder="1" applyAlignment="1">
      <alignment horizontal="center" vertical="center"/>
    </xf>
    <xf numFmtId="2" fontId="0" fillId="9" borderId="5" xfId="0" applyNumberFormat="1" applyFill="1" applyBorder="1" applyAlignment="1">
      <alignment horizontal="center" vertical="center"/>
    </xf>
    <xf numFmtId="2" fontId="0" fillId="0" borderId="8" xfId="0" applyNumberFormat="1" applyBorder="1" applyAlignment="1">
      <alignment horizontal="center" vertical="center"/>
    </xf>
    <xf numFmtId="0" fontId="1" fillId="2" borderId="2" xfId="0" applyFont="1" applyFill="1" applyBorder="1" applyAlignment="1">
      <alignment horizontal="center" vertical="center"/>
    </xf>
    <xf numFmtId="0" fontId="3" fillId="6" borderId="0" xfId="0" applyFont="1" applyFill="1" applyBorder="1" applyAlignment="1">
      <alignment horizontal="center" vertical="center"/>
    </xf>
    <xf numFmtId="0" fontId="2" fillId="3" borderId="0" xfId="0" applyFont="1" applyFill="1" applyBorder="1" applyAlignment="1">
      <alignment horizontal="center" vertical="center"/>
    </xf>
    <xf numFmtId="0" fontId="4" fillId="2" borderId="2" xfId="0" applyFont="1" applyFill="1" applyBorder="1" applyAlignment="1">
      <alignment horizontal="center" vertical="center"/>
    </xf>
    <xf numFmtId="0" fontId="1" fillId="2" borderId="1" xfId="0" applyFont="1" applyFill="1" applyBorder="1" applyAlignment="1">
      <alignment horizontal="left" vertical="center"/>
    </xf>
    <xf numFmtId="0" fontId="3" fillId="6" borderId="4" xfId="0" applyFont="1" applyFill="1" applyBorder="1" applyAlignment="1">
      <alignment horizontal="left" vertical="center"/>
    </xf>
    <xf numFmtId="0" fontId="2" fillId="3" borderId="4" xfId="0" applyFont="1" applyFill="1"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4" fillId="2" borderId="1" xfId="0" applyFont="1" applyFill="1" applyBorder="1" applyAlignment="1">
      <alignment horizontal="left" vertical="center"/>
    </xf>
    <xf numFmtId="0" fontId="0" fillId="0" borderId="4" xfId="0" applyFill="1" applyBorder="1" applyAlignment="1">
      <alignment horizontal="left" vertical="center"/>
    </xf>
    <xf numFmtId="0" fontId="0" fillId="0" borderId="6" xfId="0" applyFill="1" applyBorder="1" applyAlignment="1">
      <alignment horizontal="left" vertical="center"/>
    </xf>
    <xf numFmtId="0" fontId="7" fillId="0" borderId="4" xfId="0" applyFont="1" applyBorder="1" applyAlignment="1">
      <alignment horizontal="left" vertical="center"/>
    </xf>
    <xf numFmtId="0" fontId="0" fillId="0" borderId="4" xfId="0" applyFont="1" applyBorder="1" applyAlignment="1">
      <alignment horizontal="left" vertical="center"/>
    </xf>
    <xf numFmtId="0" fontId="8" fillId="0" borderId="0" xfId="0" applyFont="1" applyAlignment="1">
      <alignment vertical="center"/>
    </xf>
    <xf numFmtId="1" fontId="0" fillId="10" borderId="5" xfId="0" applyNumberFormat="1" applyFill="1" applyBorder="1" applyAlignment="1">
      <alignment horizontal="center" vertical="center"/>
    </xf>
    <xf numFmtId="164" fontId="0" fillId="10" borderId="5" xfId="0" applyNumberFormat="1" applyFill="1" applyBorder="1" applyAlignment="1">
      <alignment horizontal="center" vertical="center"/>
    </xf>
    <xf numFmtId="2" fontId="0" fillId="10" borderId="5" xfId="0" applyNumberFormat="1" applyFill="1" applyBorder="1" applyAlignment="1">
      <alignment horizontal="center" vertical="center"/>
    </xf>
    <xf numFmtId="165" fontId="0" fillId="10" borderId="5" xfId="0" applyNumberFormat="1" applyFill="1" applyBorder="1" applyAlignment="1">
      <alignment horizontal="center" vertical="center"/>
    </xf>
    <xf numFmtId="0" fontId="5" fillId="0" borderId="6" xfId="0" applyFont="1" applyBorder="1" applyAlignment="1">
      <alignment horizontal="left" vertical="center"/>
    </xf>
    <xf numFmtId="0" fontId="5" fillId="0" borderId="7" xfId="0" applyFont="1" applyBorder="1" applyAlignment="1">
      <alignment horizontal="center" vertical="center"/>
    </xf>
    <xf numFmtId="1" fontId="5" fillId="0" borderId="8" xfId="0" applyNumberFormat="1" applyFont="1" applyBorder="1" applyAlignment="1">
      <alignment horizontal="center" vertical="center"/>
    </xf>
    <xf numFmtId="0" fontId="5" fillId="0" borderId="4" xfId="0" applyFont="1" applyBorder="1" applyAlignment="1">
      <alignment horizontal="left" vertical="center"/>
    </xf>
    <xf numFmtId="0" fontId="5" fillId="0" borderId="0" xfId="0" applyFont="1" applyBorder="1" applyAlignment="1">
      <alignment horizontal="center" vertical="center"/>
    </xf>
    <xf numFmtId="1" fontId="5" fillId="0" borderId="5" xfId="0" applyNumberFormat="1" applyFont="1" applyBorder="1" applyAlignment="1">
      <alignment horizontal="center" vertical="center"/>
    </xf>
    <xf numFmtId="0" fontId="3" fillId="10" borderId="0" xfId="0" applyFont="1" applyFill="1" applyAlignment="1">
      <alignment horizontal="center" vertical="center"/>
    </xf>
    <xf numFmtId="45" fontId="0" fillId="0" borderId="0" xfId="0" applyNumberFormat="1" applyAlignment="1">
      <alignment vertical="center"/>
    </xf>
    <xf numFmtId="45" fontId="0" fillId="10" borderId="5" xfId="0" applyNumberFormat="1" applyFill="1" applyBorder="1" applyAlignment="1">
      <alignment horizontal="center" vertical="center"/>
    </xf>
    <xf numFmtId="2" fontId="0" fillId="10" borderId="8" xfId="0" applyNumberFormat="1" applyFill="1" applyBorder="1" applyAlignment="1">
      <alignment horizontal="center" vertical="center"/>
    </xf>
    <xf numFmtId="0" fontId="0" fillId="0" borderId="0" xfId="0" quotePrefix="1" applyAlignment="1">
      <alignment horizontal="left" vertical="center"/>
    </xf>
    <xf numFmtId="0" fontId="0" fillId="0" borderId="2" xfId="0" applyBorder="1" applyAlignment="1">
      <alignment horizontal="center" vertical="center"/>
    </xf>
    <xf numFmtId="0" fontId="0" fillId="0" borderId="4" xfId="0" applyBorder="1" applyAlignment="1">
      <alignment horizontal="right" vertical="center"/>
    </xf>
    <xf numFmtId="1" fontId="0" fillId="0" borderId="0" xfId="0" applyNumberFormat="1" applyBorder="1" applyAlignment="1">
      <alignment horizontal="center" vertical="center"/>
    </xf>
    <xf numFmtId="0" fontId="0" fillId="0" borderId="6" xfId="0" applyBorder="1" applyAlignment="1">
      <alignment horizontal="right" vertical="center"/>
    </xf>
    <xf numFmtId="1" fontId="0" fillId="0" borderId="7" xfId="0" applyNumberFormat="1" applyBorder="1" applyAlignment="1">
      <alignment horizontal="center" vertical="center"/>
    </xf>
    <xf numFmtId="0" fontId="0" fillId="0" borderId="1" xfId="0" applyBorder="1" applyAlignment="1">
      <alignment horizontal="right" vertical="center"/>
    </xf>
    <xf numFmtId="1" fontId="0" fillId="0" borderId="2" xfId="0" applyNumberFormat="1" applyBorder="1" applyAlignment="1">
      <alignment horizontal="center" vertical="center"/>
    </xf>
    <xf numFmtId="1" fontId="0" fillId="0" borderId="3" xfId="0" applyNumberForma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0" fillId="0" borderId="0" xfId="0" applyNumberFormat="1" applyAlignment="1">
      <alignment vertical="center"/>
    </xf>
    <xf numFmtId="164" fontId="0" fillId="8" borderId="7" xfId="0" applyNumberFormat="1" applyFill="1" applyBorder="1" applyAlignment="1">
      <alignment horizontal="center" vertical="center"/>
    </xf>
    <xf numFmtId="2" fontId="0" fillId="8" borderId="7" xfId="0" applyNumberFormat="1" applyFill="1" applyBorder="1" applyAlignment="1">
      <alignment horizontal="center" vertical="center"/>
    </xf>
    <xf numFmtId="0" fontId="0" fillId="8" borderId="7" xfId="0" applyFill="1" applyBorder="1" applyAlignment="1">
      <alignment horizontal="left" vertical="center"/>
    </xf>
    <xf numFmtId="0" fontId="5" fillId="11" borderId="4" xfId="0" applyFont="1" applyFill="1" applyBorder="1" applyAlignment="1">
      <alignment horizontal="left" vertical="center"/>
    </xf>
    <xf numFmtId="0" fontId="5" fillId="11" borderId="0" xfId="0" applyFont="1" applyFill="1" applyBorder="1" applyAlignment="1">
      <alignment horizontal="center" vertical="center"/>
    </xf>
    <xf numFmtId="1" fontId="5" fillId="11" borderId="5" xfId="0" applyNumberFormat="1" applyFont="1" applyFill="1" applyBorder="1" applyAlignment="1">
      <alignment horizontal="center" vertical="center"/>
    </xf>
    <xf numFmtId="0" fontId="0" fillId="0" borderId="4" xfId="0" applyBorder="1" applyAlignment="1">
      <alignment horizontal="left" vertical="center" wrapText="1"/>
    </xf>
    <xf numFmtId="0" fontId="0" fillId="0" borderId="6" xfId="0" applyBorder="1" applyAlignment="1">
      <alignment horizontal="left" vertical="center" wrapText="1"/>
    </xf>
    <xf numFmtId="0" fontId="5" fillId="0" borderId="0" xfId="0" applyFont="1" applyAlignment="1">
      <alignment horizontal="center" vertical="center"/>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571500</xdr:colOff>
      <xdr:row>15</xdr:row>
      <xdr:rowOff>0</xdr:rowOff>
    </xdr:from>
    <xdr:to>
      <xdr:col>21</xdr:col>
      <xdr:colOff>518446</xdr:colOff>
      <xdr:row>19</xdr:row>
      <xdr:rowOff>133350</xdr:rowOff>
    </xdr:to>
    <xdr:pic>
      <xdr:nvPicPr>
        <xdr:cNvPr id="2" name="Picture 1">
          <a:extLst>
            <a:ext uri="{FF2B5EF4-FFF2-40B4-BE49-F238E27FC236}">
              <a16:creationId xmlns:a16="http://schemas.microsoft.com/office/drawing/2014/main" id="{36AEB64E-8BC7-597B-0D07-1F9CD2916F1B}"/>
            </a:ext>
          </a:extLst>
        </xdr:cNvPr>
        <xdr:cNvPicPr>
          <a:picLocks noChangeAspect="1"/>
        </xdr:cNvPicPr>
      </xdr:nvPicPr>
      <xdr:blipFill>
        <a:blip xmlns:r="http://schemas.openxmlformats.org/officeDocument/2006/relationships" r:embed="rId1"/>
        <a:stretch>
          <a:fillRect/>
        </a:stretch>
      </xdr:blipFill>
      <xdr:spPr>
        <a:xfrm>
          <a:off x="15173325" y="2857500"/>
          <a:ext cx="4214146" cy="895350"/>
        </a:xfrm>
        <a:prstGeom prst="rect">
          <a:avLst/>
        </a:prstGeom>
      </xdr:spPr>
    </xdr:pic>
    <xdr:clientData/>
  </xdr:twoCellAnchor>
  <xdr:twoCellAnchor editAs="oneCell">
    <xdr:from>
      <xdr:col>5</xdr:col>
      <xdr:colOff>266700</xdr:colOff>
      <xdr:row>91</xdr:row>
      <xdr:rowOff>28575</xdr:rowOff>
    </xdr:from>
    <xdr:to>
      <xdr:col>14</xdr:col>
      <xdr:colOff>65896</xdr:colOff>
      <xdr:row>101</xdr:row>
      <xdr:rowOff>142623</xdr:rowOff>
    </xdr:to>
    <xdr:pic>
      <xdr:nvPicPr>
        <xdr:cNvPr id="3" name="Picture 2">
          <a:extLst>
            <a:ext uri="{FF2B5EF4-FFF2-40B4-BE49-F238E27FC236}">
              <a16:creationId xmlns:a16="http://schemas.microsoft.com/office/drawing/2014/main" id="{19B1B9BD-CD69-E083-CCDE-1AD5E89E6512}"/>
            </a:ext>
            <a:ext uri="{147F2762-F138-4A5C-976F-8EAC2B608ADB}">
              <a16:predDERef xmlns:a16="http://schemas.microsoft.com/office/drawing/2014/main" pred="{36AEB64E-8BC7-597B-0D07-1F9CD2916F1B}"/>
            </a:ext>
          </a:extLst>
        </xdr:cNvPr>
        <xdr:cNvPicPr>
          <a:picLocks noChangeAspect="1"/>
        </xdr:cNvPicPr>
      </xdr:nvPicPr>
      <xdr:blipFill>
        <a:blip xmlns:r="http://schemas.openxmlformats.org/officeDocument/2006/relationships" r:embed="rId2"/>
        <a:stretch>
          <a:fillRect/>
        </a:stretch>
      </xdr:blipFill>
      <xdr:spPr>
        <a:xfrm>
          <a:off x="8505825" y="17364075"/>
          <a:ext cx="6228571" cy="201904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eessens, Arno" id="{782F14DE-445C-4F6B-961E-38C47B1B6F7D}" userId="S::arno.meessens@swecobelgium.be::28765654-1d11-4a27-bff7-e419c40e167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6" dT="2026-04-13T18:15:01.12" personId="{782F14DE-445C-4F6B-961E-38C47B1B6F7D}" id="{D0B89FC5-FB35-4046-A6D4-B2A236D08CB3}">
    <text>Can be dynamic in long events</text>
  </threadedComment>
  <threadedComment ref="A12" dT="2026-04-13T18:15:36.04" personId="{782F14DE-445C-4F6B-961E-38C47B1B6F7D}" id="{97B7E93C-C26E-4AD2-9CED-864AFAC43293}">
    <text>Can be dynamic due to elevation via Wehrlin and Hallén eq</text>
  </threadedComment>
  <threadedComment ref="C55" dT="2026-04-15T14:15:14.45" personId="{782F14DE-445C-4F6B-961E-38C47B1B6F7D}" id="{158471DB-E808-45A4-B886-1A5717460954}">
    <text xml:space="preserve">0.0004 voor een getrainde ultra-loper, 0.0006 voor een recreant </text>
  </threadedComment>
  <threadedComment ref="C69" dT="2026-04-13T16:29:46.82" personId="{782F14DE-445C-4F6B-961E-38C47B1B6F7D}" id="{0470C377-9C02-429A-954E-43D3520D7503}">
    <text xml:space="preserve">4.82kcal/literO2 is the energy you get by using 1 liter O2 at a resting RER of 0.82, 
which corresponds with the standard MET equal to 3.5 ml/kg/min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14"/>
  <sheetViews>
    <sheetView tabSelected="1" workbookViewId="0">
      <selection activeCell="D6" sqref="D6"/>
    </sheetView>
  </sheetViews>
  <sheetFormatPr defaultRowHeight="15"/>
  <cols>
    <col min="1" max="1" width="39.42578125" style="8" customWidth="1"/>
    <col min="2" max="2" width="10.42578125" style="5" bestFit="1" customWidth="1"/>
    <col min="3" max="3" width="14.140625" style="5" bestFit="1" customWidth="1"/>
    <col min="4" max="4" width="33.42578125" style="1" customWidth="1"/>
    <col min="5" max="5" width="24.85546875" style="1" bestFit="1" customWidth="1"/>
    <col min="6" max="6" width="13.140625" style="1" customWidth="1"/>
    <col min="7" max="7" width="10" style="1" bestFit="1" customWidth="1"/>
    <col min="8" max="8" width="12" style="1" bestFit="1" customWidth="1"/>
    <col min="9" max="9" width="11.140625" style="1" customWidth="1"/>
    <col min="10" max="10" width="12" style="1" customWidth="1"/>
    <col min="11" max="11" width="8.42578125" style="1" bestFit="1" customWidth="1"/>
    <col min="12" max="12" width="11.42578125" style="1" bestFit="1" customWidth="1"/>
    <col min="13" max="16384" width="9.140625" style="1"/>
  </cols>
  <sheetData>
    <row r="1" spans="1:22">
      <c r="A1" s="54" t="s">
        <v>0</v>
      </c>
      <c r="B1" s="50"/>
      <c r="C1" s="38"/>
      <c r="D1" s="75" t="s">
        <v>1</v>
      </c>
      <c r="F1" s="9" t="s">
        <v>2</v>
      </c>
      <c r="G1" s="10"/>
      <c r="H1" s="10"/>
      <c r="I1" s="10"/>
      <c r="J1" s="10"/>
      <c r="K1" s="10"/>
      <c r="L1" s="16"/>
      <c r="M1" s="16"/>
      <c r="N1" s="16"/>
      <c r="O1" s="16"/>
      <c r="P1" s="16"/>
      <c r="Q1" s="16"/>
      <c r="R1" s="16"/>
      <c r="S1" s="16"/>
      <c r="T1" s="16"/>
      <c r="U1" s="16"/>
      <c r="V1" s="17"/>
    </row>
    <row r="2" spans="1:22">
      <c r="A2" s="55" t="s">
        <v>3</v>
      </c>
      <c r="B2" s="51"/>
      <c r="C2" s="39"/>
      <c r="D2" s="100" t="s">
        <v>4</v>
      </c>
      <c r="F2" s="11" t="s">
        <v>5</v>
      </c>
      <c r="G2" s="12"/>
      <c r="H2" s="12"/>
      <c r="I2" s="12"/>
      <c r="J2" s="12"/>
      <c r="K2" s="12"/>
      <c r="L2" s="18"/>
      <c r="M2" s="18"/>
      <c r="N2" s="18"/>
      <c r="O2" s="18"/>
      <c r="P2" s="18"/>
      <c r="Q2" s="18"/>
      <c r="R2" s="18"/>
      <c r="S2" s="18"/>
      <c r="T2" s="18"/>
      <c r="U2" s="18"/>
      <c r="V2" s="19"/>
    </row>
    <row r="3" spans="1:22">
      <c r="A3" s="56" t="s">
        <v>6</v>
      </c>
      <c r="B3" s="52" t="s">
        <v>7</v>
      </c>
      <c r="C3" s="40" t="s">
        <v>8</v>
      </c>
      <c r="D3" s="100" t="s">
        <v>9</v>
      </c>
      <c r="F3" s="23" t="s">
        <v>10</v>
      </c>
      <c r="G3" s="24">
        <f>(1.39*I3)+(0.16*C5)-(10.34*C4)-9</f>
        <v>14.850864197530857</v>
      </c>
      <c r="H3" s="25" t="s">
        <v>11</v>
      </c>
      <c r="I3" s="24">
        <f>C6/(C7*C7)</f>
        <v>21.604938271604937</v>
      </c>
      <c r="J3" s="18" t="s">
        <v>12</v>
      </c>
      <c r="K3" s="18"/>
      <c r="L3" s="18"/>
      <c r="M3" s="20" t="s">
        <v>13</v>
      </c>
      <c r="N3" s="18"/>
      <c r="O3" s="18"/>
      <c r="P3" s="18"/>
      <c r="Q3" s="18"/>
      <c r="R3" s="18"/>
      <c r="S3" s="18"/>
      <c r="T3" s="18"/>
      <c r="U3" s="18"/>
      <c r="V3" s="19"/>
    </row>
    <row r="4" spans="1:22">
      <c r="A4" s="57" t="s">
        <v>14</v>
      </c>
      <c r="B4" s="15" t="s">
        <v>15</v>
      </c>
      <c r="C4" s="65">
        <v>1</v>
      </c>
      <c r="D4" s="100" t="s">
        <v>16</v>
      </c>
      <c r="F4" s="23" t="s">
        <v>10</v>
      </c>
      <c r="G4" s="24">
        <f>64-(20*(C7/I4))</f>
        <v>13.29577464788732</v>
      </c>
      <c r="H4" s="25" t="s">
        <v>17</v>
      </c>
      <c r="I4" s="26">
        <v>0.71</v>
      </c>
      <c r="J4" s="18" t="s">
        <v>18</v>
      </c>
      <c r="K4" s="18"/>
      <c r="L4" s="18"/>
      <c r="M4" s="20" t="s">
        <v>19</v>
      </c>
      <c r="N4" s="18"/>
      <c r="O4" s="18"/>
      <c r="P4" s="18"/>
      <c r="Q4" s="18"/>
      <c r="R4" s="18"/>
      <c r="S4" s="18"/>
      <c r="T4" s="18"/>
      <c r="U4" s="18"/>
      <c r="V4" s="19"/>
    </row>
    <row r="5" spans="1:22">
      <c r="A5" s="57" t="s">
        <v>20</v>
      </c>
      <c r="B5" s="15" t="s">
        <v>21</v>
      </c>
      <c r="C5" s="65">
        <v>26</v>
      </c>
      <c r="D5" s="6"/>
      <c r="F5" s="23"/>
      <c r="G5" s="18"/>
      <c r="H5" s="18"/>
      <c r="I5" s="18"/>
      <c r="J5" s="18"/>
      <c r="K5" s="18"/>
      <c r="L5" s="18"/>
      <c r="M5" s="18"/>
      <c r="N5" s="18"/>
      <c r="O5" s="18"/>
      <c r="P5" s="18"/>
      <c r="Q5" s="18"/>
      <c r="R5" s="18"/>
      <c r="S5" s="18"/>
      <c r="T5" s="18"/>
      <c r="U5" s="18"/>
      <c r="V5" s="19"/>
    </row>
    <row r="6" spans="1:22">
      <c r="A6" s="57" t="s">
        <v>22</v>
      </c>
      <c r="B6" s="15" t="s">
        <v>23</v>
      </c>
      <c r="C6" s="66">
        <v>70</v>
      </c>
      <c r="D6" s="6"/>
      <c r="F6" s="27" t="s">
        <v>24</v>
      </c>
      <c r="G6" s="28" t="s">
        <v>25</v>
      </c>
      <c r="H6" s="28" t="s">
        <v>26</v>
      </c>
      <c r="I6" s="18"/>
      <c r="J6" s="18"/>
      <c r="K6" s="18"/>
      <c r="L6" s="18"/>
      <c r="M6" s="18"/>
      <c r="N6" s="18"/>
      <c r="O6" s="18"/>
      <c r="P6" s="18"/>
      <c r="Q6" s="18"/>
      <c r="R6" s="18"/>
      <c r="S6" s="18"/>
      <c r="T6" s="18"/>
      <c r="U6" s="18"/>
      <c r="V6" s="19"/>
    </row>
    <row r="7" spans="1:22">
      <c r="A7" s="57" t="s">
        <v>27</v>
      </c>
      <c r="B7" s="15" t="s">
        <v>28</v>
      </c>
      <c r="C7" s="67">
        <v>1.8</v>
      </c>
      <c r="D7" s="6"/>
      <c r="F7" s="23" t="s">
        <v>29</v>
      </c>
      <c r="G7" s="18" t="s">
        <v>30</v>
      </c>
      <c r="H7" s="18" t="s">
        <v>31</v>
      </c>
      <c r="I7" s="18"/>
      <c r="J7" s="18"/>
      <c r="K7" s="18"/>
      <c r="L7" s="18"/>
      <c r="M7" s="18"/>
      <c r="N7" s="18"/>
      <c r="O7" s="18"/>
      <c r="P7" s="18"/>
      <c r="Q7" s="18"/>
      <c r="R7" s="18"/>
      <c r="S7" s="18"/>
      <c r="T7" s="18"/>
      <c r="U7" s="18"/>
      <c r="V7" s="19"/>
    </row>
    <row r="8" spans="1:22">
      <c r="A8" s="57" t="s">
        <v>32</v>
      </c>
      <c r="B8" s="15" t="s">
        <v>33</v>
      </c>
      <c r="C8" s="65">
        <v>53</v>
      </c>
      <c r="D8" s="6"/>
      <c r="F8" s="23" t="s">
        <v>34</v>
      </c>
      <c r="G8" s="18" t="s">
        <v>35</v>
      </c>
      <c r="H8" s="18" t="s">
        <v>36</v>
      </c>
      <c r="I8" s="18"/>
      <c r="J8" s="18"/>
      <c r="K8" s="18"/>
      <c r="L8" s="18"/>
      <c r="M8" s="18"/>
      <c r="N8" s="18"/>
      <c r="O8" s="18"/>
      <c r="P8" s="18"/>
      <c r="Q8" s="18"/>
      <c r="R8" s="18"/>
      <c r="S8" s="18"/>
      <c r="T8" s="18"/>
      <c r="U8" s="18"/>
      <c r="V8" s="19"/>
    </row>
    <row r="9" spans="1:22">
      <c r="A9" s="8" t="s">
        <v>37</v>
      </c>
      <c r="B9" s="5" t="s">
        <v>33</v>
      </c>
      <c r="C9" s="65">
        <v>193</v>
      </c>
      <c r="D9" s="6"/>
      <c r="F9" s="23" t="s">
        <v>38</v>
      </c>
      <c r="G9" s="18" t="s">
        <v>39</v>
      </c>
      <c r="H9" s="18" t="s">
        <v>40</v>
      </c>
      <c r="I9" s="18"/>
      <c r="J9" s="18"/>
      <c r="K9" s="18"/>
      <c r="L9" s="18"/>
      <c r="M9" s="18"/>
      <c r="N9" s="18"/>
      <c r="O9" s="18"/>
      <c r="P9" s="18"/>
      <c r="Q9" s="18"/>
      <c r="R9" s="18"/>
      <c r="S9" s="18"/>
      <c r="T9" s="18"/>
      <c r="U9" s="18"/>
      <c r="V9" s="19"/>
    </row>
    <row r="10" spans="1:22">
      <c r="A10" s="57" t="s">
        <v>41</v>
      </c>
      <c r="B10" s="15" t="s">
        <v>42</v>
      </c>
      <c r="C10" s="67">
        <v>0.12</v>
      </c>
      <c r="D10" s="6"/>
      <c r="F10" s="23" t="s">
        <v>43</v>
      </c>
      <c r="G10" s="18" t="s">
        <v>44</v>
      </c>
      <c r="H10" s="18" t="s">
        <v>45</v>
      </c>
      <c r="I10" s="18"/>
      <c r="J10" s="18"/>
      <c r="K10" s="18"/>
      <c r="L10" s="18"/>
      <c r="M10" s="18"/>
      <c r="N10" s="18"/>
      <c r="O10" s="18"/>
      <c r="P10" s="18"/>
      <c r="Q10" s="18"/>
      <c r="R10" s="18"/>
      <c r="S10" s="18"/>
      <c r="T10" s="18"/>
      <c r="U10" s="18"/>
      <c r="V10" s="19"/>
    </row>
    <row r="11" spans="1:22">
      <c r="A11" s="95" t="s">
        <v>46</v>
      </c>
      <c r="B11" s="96" t="s">
        <v>47</v>
      </c>
      <c r="C11" s="97">
        <v>90</v>
      </c>
      <c r="D11" s="6"/>
      <c r="F11" s="23" t="s">
        <v>48</v>
      </c>
      <c r="G11" s="18" t="s">
        <v>49</v>
      </c>
      <c r="H11" s="18" t="s">
        <v>50</v>
      </c>
      <c r="I11" s="18"/>
      <c r="J11" s="18"/>
      <c r="K11" s="18"/>
      <c r="L11" s="18"/>
      <c r="M11" s="18"/>
      <c r="N11" s="18"/>
      <c r="O11" s="18"/>
      <c r="P11" s="18"/>
      <c r="Q11" s="18"/>
      <c r="R11" s="18"/>
      <c r="S11" s="18"/>
      <c r="T11" s="18"/>
      <c r="U11" s="18"/>
      <c r="V11" s="19"/>
    </row>
    <row r="12" spans="1:22">
      <c r="A12" s="57" t="s">
        <v>51</v>
      </c>
      <c r="B12" s="15" t="s">
        <v>52</v>
      </c>
      <c r="C12" s="65">
        <v>60</v>
      </c>
      <c r="D12" s="6"/>
      <c r="F12" s="23"/>
      <c r="G12" s="18"/>
      <c r="H12" s="18"/>
      <c r="I12" s="18"/>
      <c r="J12" s="18"/>
      <c r="K12" s="18"/>
      <c r="L12" s="18"/>
      <c r="M12" s="18"/>
      <c r="N12" s="18"/>
      <c r="O12" s="18"/>
      <c r="P12" s="18"/>
      <c r="Q12" s="18"/>
      <c r="R12" s="18"/>
      <c r="S12" s="18"/>
      <c r="T12" s="18"/>
      <c r="U12" s="18"/>
      <c r="V12" s="19"/>
    </row>
    <row r="13" spans="1:22">
      <c r="A13" s="57"/>
      <c r="B13" s="15"/>
      <c r="C13" s="44"/>
      <c r="D13" s="6"/>
      <c r="F13" s="13" t="s">
        <v>53</v>
      </c>
      <c r="G13" s="14"/>
      <c r="H13" s="14"/>
      <c r="I13" s="14"/>
      <c r="J13" s="14"/>
      <c r="K13" s="14"/>
      <c r="L13" s="18"/>
      <c r="M13" s="18"/>
      <c r="N13" s="18"/>
      <c r="O13" s="18"/>
      <c r="P13" s="18"/>
      <c r="Q13" s="18"/>
      <c r="R13" s="18"/>
      <c r="S13" s="18"/>
      <c r="T13" s="18"/>
      <c r="U13" s="18"/>
      <c r="V13" s="19"/>
    </row>
    <row r="14" spans="1:22">
      <c r="A14" s="59" t="s">
        <v>54</v>
      </c>
      <c r="B14" s="50"/>
      <c r="C14" s="38"/>
      <c r="D14" s="6"/>
      <c r="F14" s="23" t="s">
        <v>55</v>
      </c>
      <c r="G14" s="18"/>
      <c r="H14" s="18"/>
      <c r="I14" s="18"/>
      <c r="J14" s="18"/>
      <c r="K14" s="18"/>
      <c r="L14" s="18"/>
      <c r="M14" s="18"/>
      <c r="N14" s="18"/>
      <c r="O14" s="18"/>
      <c r="P14" s="18"/>
      <c r="Q14" s="18"/>
      <c r="R14" s="18"/>
      <c r="S14" s="18"/>
      <c r="T14" s="18"/>
      <c r="U14" s="18"/>
      <c r="V14" s="19"/>
    </row>
    <row r="15" spans="1:22">
      <c r="A15" s="55" t="s">
        <v>56</v>
      </c>
      <c r="B15" s="51"/>
      <c r="C15" s="39"/>
      <c r="F15" s="23" t="s">
        <v>57</v>
      </c>
      <c r="G15" s="24">
        <f>15.3*I15/K15</f>
        <v>65.62</v>
      </c>
      <c r="H15" s="29" t="s">
        <v>58</v>
      </c>
      <c r="I15" s="29">
        <v>193</v>
      </c>
      <c r="J15" s="29" t="s">
        <v>59</v>
      </c>
      <c r="K15" s="29">
        <v>45</v>
      </c>
      <c r="L15" s="18"/>
      <c r="M15" s="18"/>
      <c r="N15" s="18"/>
      <c r="O15" s="18"/>
      <c r="P15" s="18"/>
      <c r="Q15" s="18"/>
      <c r="R15" s="18"/>
      <c r="S15" s="18"/>
      <c r="T15" s="18"/>
      <c r="U15" s="18"/>
      <c r="V15" s="19"/>
    </row>
    <row r="16" spans="1:22">
      <c r="A16" s="56" t="s">
        <v>6</v>
      </c>
      <c r="B16" s="52" t="s">
        <v>7</v>
      </c>
      <c r="C16" s="40" t="s">
        <v>60</v>
      </c>
      <c r="F16" s="23"/>
      <c r="G16" s="18"/>
      <c r="H16" s="18"/>
      <c r="I16" s="18"/>
      <c r="J16" s="18"/>
      <c r="K16" s="18"/>
      <c r="L16" s="18"/>
      <c r="M16" s="18"/>
      <c r="N16" s="18"/>
      <c r="O16" s="18"/>
      <c r="P16" s="18"/>
      <c r="Q16" s="18"/>
      <c r="R16" s="18"/>
      <c r="S16" s="18"/>
      <c r="T16" s="18"/>
      <c r="U16" s="18"/>
      <c r="V16" s="19"/>
    </row>
    <row r="17" spans="1:22">
      <c r="A17" s="57" t="s">
        <v>61</v>
      </c>
      <c r="B17" s="15" t="s">
        <v>23</v>
      </c>
      <c r="C17" s="42">
        <f>C6*(1-C10)</f>
        <v>61.6</v>
      </c>
      <c r="F17" s="23" t="s">
        <v>62</v>
      </c>
      <c r="G17" s="18"/>
      <c r="H17" s="18"/>
      <c r="I17" s="18"/>
      <c r="J17" s="18"/>
      <c r="K17" s="18"/>
      <c r="L17" s="18"/>
      <c r="M17" s="18"/>
      <c r="N17" s="18"/>
      <c r="O17" s="18"/>
      <c r="P17" s="18"/>
      <c r="Q17" s="18"/>
      <c r="R17" s="18"/>
      <c r="S17" s="18"/>
      <c r="T17" s="18"/>
      <c r="U17" s="18"/>
      <c r="V17" s="19"/>
    </row>
    <row r="18" spans="1:22">
      <c r="A18" s="57" t="s">
        <v>63</v>
      </c>
      <c r="B18" s="15" t="s">
        <v>64</v>
      </c>
      <c r="C18" s="41">
        <f>500+(22*C17)</f>
        <v>1855.2</v>
      </c>
      <c r="D18" s="1" t="s">
        <v>65</v>
      </c>
      <c r="F18" s="23" t="s">
        <v>66</v>
      </c>
      <c r="G18" s="18"/>
      <c r="H18" s="18"/>
      <c r="I18" s="18"/>
      <c r="J18" s="18"/>
      <c r="K18" s="18"/>
      <c r="L18" s="18"/>
      <c r="M18" s="18"/>
      <c r="N18" s="18"/>
      <c r="O18" s="18"/>
      <c r="P18" s="18"/>
      <c r="Q18" s="18"/>
      <c r="R18" s="18"/>
      <c r="S18" s="18"/>
      <c r="T18" s="18"/>
      <c r="U18" s="18"/>
      <c r="V18" s="19"/>
    </row>
    <row r="19" spans="1:22">
      <c r="A19" s="57" t="s">
        <v>67</v>
      </c>
      <c r="B19" s="15" t="s">
        <v>64</v>
      </c>
      <c r="C19" s="41">
        <f>(370+(21.6*C17))</f>
        <v>1700.5600000000002</v>
      </c>
      <c r="D19" s="1" t="s">
        <v>68</v>
      </c>
      <c r="F19" s="23" t="s">
        <v>57</v>
      </c>
      <c r="G19" s="24">
        <f>(I19-504.9)/44.73</f>
        <v>66.959534987704004</v>
      </c>
      <c r="H19" s="18" t="s">
        <v>69</v>
      </c>
      <c r="I19" s="18">
        <v>3500</v>
      </c>
      <c r="J19" s="18"/>
      <c r="K19" s="18"/>
      <c r="L19" s="18"/>
      <c r="M19" s="18"/>
      <c r="N19" s="18"/>
      <c r="O19" s="18"/>
      <c r="P19" s="18"/>
      <c r="Q19" s="18"/>
      <c r="R19" s="18"/>
      <c r="S19" s="18"/>
      <c r="T19" s="18"/>
      <c r="U19" s="18"/>
      <c r="V19" s="19"/>
    </row>
    <row r="20" spans="1:22">
      <c r="A20" s="58" t="s">
        <v>70</v>
      </c>
      <c r="B20" s="31" t="s">
        <v>64</v>
      </c>
      <c r="C20" s="45">
        <f>10*C6+6.25*C7*100-5*C5+IF(C4=1,5,-161)</f>
        <v>1700</v>
      </c>
      <c r="D20" s="1" t="s">
        <v>71</v>
      </c>
      <c r="F20" s="23"/>
      <c r="G20" s="18"/>
      <c r="H20" s="18"/>
      <c r="I20" s="18"/>
      <c r="J20" s="18"/>
      <c r="K20" s="18"/>
      <c r="L20" s="18"/>
      <c r="M20" s="18"/>
      <c r="N20" s="18"/>
      <c r="O20" s="18"/>
      <c r="P20" s="18"/>
      <c r="Q20" s="18"/>
      <c r="R20" s="18"/>
      <c r="S20" s="18"/>
      <c r="T20" s="18"/>
      <c r="U20" s="18"/>
      <c r="V20" s="19"/>
    </row>
    <row r="21" spans="1:22">
      <c r="F21" s="23" t="s">
        <v>72</v>
      </c>
      <c r="G21" s="18"/>
      <c r="H21" s="18"/>
      <c r="I21" s="18"/>
      <c r="J21" s="18"/>
      <c r="K21" s="18"/>
      <c r="L21" s="18"/>
      <c r="M21" s="18"/>
      <c r="N21" s="18"/>
      <c r="O21" s="18"/>
      <c r="P21" s="18"/>
      <c r="Q21" s="18"/>
      <c r="R21" s="18"/>
      <c r="S21" s="18"/>
      <c r="T21" s="18"/>
      <c r="U21" s="18"/>
      <c r="V21" s="19"/>
    </row>
    <row r="22" spans="1:22">
      <c r="F22" s="23" t="s">
        <v>73</v>
      </c>
      <c r="G22" s="18"/>
      <c r="H22" s="18"/>
      <c r="I22" s="18"/>
      <c r="J22" s="18"/>
      <c r="K22" s="18"/>
      <c r="L22" s="18"/>
      <c r="M22" s="18"/>
      <c r="N22" s="18"/>
      <c r="O22" s="18"/>
      <c r="P22" s="18"/>
      <c r="Q22" s="18"/>
      <c r="R22" s="18"/>
      <c r="S22" s="18"/>
      <c r="T22" s="18"/>
      <c r="U22" s="18"/>
      <c r="V22" s="19"/>
    </row>
    <row r="23" spans="1:22">
      <c r="F23" s="23" t="s">
        <v>57</v>
      </c>
      <c r="G23" s="24">
        <f>16.61+8.87*I23</f>
        <v>66.281999999999982</v>
      </c>
      <c r="H23" s="25" t="s">
        <v>74</v>
      </c>
      <c r="I23" s="18">
        <v>5.6</v>
      </c>
      <c r="J23" s="20" t="s">
        <v>75</v>
      </c>
      <c r="K23" s="18"/>
      <c r="L23" s="18"/>
      <c r="M23" s="18"/>
      <c r="N23" s="18"/>
      <c r="O23" s="18"/>
      <c r="P23" s="18"/>
      <c r="Q23" s="18"/>
      <c r="R23" s="18"/>
      <c r="S23" s="18"/>
      <c r="T23" s="18"/>
      <c r="U23" s="18"/>
      <c r="V23" s="19"/>
    </row>
    <row r="24" spans="1:22">
      <c r="A24" s="59" t="s">
        <v>76</v>
      </c>
      <c r="B24" s="53"/>
      <c r="C24" s="38"/>
      <c r="F24" s="30"/>
      <c r="G24" s="21"/>
      <c r="H24" s="21"/>
      <c r="I24" s="21"/>
      <c r="J24" s="21"/>
      <c r="K24" s="21"/>
      <c r="L24" s="21"/>
      <c r="M24" s="21"/>
      <c r="N24" s="21"/>
      <c r="O24" s="21"/>
      <c r="P24" s="21"/>
      <c r="Q24" s="21"/>
      <c r="R24" s="21"/>
      <c r="S24" s="21"/>
      <c r="T24" s="21"/>
      <c r="U24" s="21"/>
      <c r="V24" s="22"/>
    </row>
    <row r="25" spans="1:22">
      <c r="A25" s="56" t="s">
        <v>6</v>
      </c>
      <c r="B25" s="52" t="s">
        <v>7</v>
      </c>
      <c r="C25" s="40" t="s">
        <v>8</v>
      </c>
      <c r="D25" s="6" t="s">
        <v>77</v>
      </c>
    </row>
    <row r="26" spans="1:22">
      <c r="A26" s="60" t="s">
        <v>78</v>
      </c>
      <c r="B26" s="15" t="s">
        <v>79</v>
      </c>
      <c r="C26" s="77">
        <v>4.178240740740741E-3</v>
      </c>
    </row>
    <row r="27" spans="1:22">
      <c r="A27" s="60" t="s">
        <v>80</v>
      </c>
      <c r="B27" s="15" t="s">
        <v>81</v>
      </c>
      <c r="C27" s="68">
        <v>6.6921296296296298E-2</v>
      </c>
      <c r="D27" s="6"/>
      <c r="E27" s="76"/>
    </row>
    <row r="28" spans="1:22">
      <c r="A28" s="60" t="s">
        <v>82</v>
      </c>
      <c r="B28" s="15" t="s">
        <v>81</v>
      </c>
      <c r="C28" s="68">
        <v>6.6921296296296298E-2</v>
      </c>
      <c r="D28" s="6"/>
    </row>
    <row r="29" spans="1:22">
      <c r="A29" s="60"/>
      <c r="B29" s="15"/>
      <c r="C29" s="41"/>
    </row>
    <row r="30" spans="1:22">
      <c r="A30" s="60" t="s">
        <v>83</v>
      </c>
      <c r="B30" s="15" t="s">
        <v>33</v>
      </c>
      <c r="C30" s="65">
        <v>125</v>
      </c>
      <c r="D30" s="91"/>
    </row>
    <row r="31" spans="1:22">
      <c r="A31" s="60"/>
      <c r="B31" s="15"/>
      <c r="C31" s="43"/>
      <c r="E31" s="4"/>
    </row>
    <row r="32" spans="1:22">
      <c r="A32" s="60" t="s">
        <v>84</v>
      </c>
      <c r="B32" s="15" t="s">
        <v>42</v>
      </c>
      <c r="C32" s="67">
        <f>(140+143)/16000</f>
        <v>1.7687499999999998E-2</v>
      </c>
    </row>
    <row r="33" spans="1:6">
      <c r="A33" s="60" t="s">
        <v>85</v>
      </c>
      <c r="B33" s="15" t="s">
        <v>28</v>
      </c>
      <c r="C33" s="65">
        <v>140</v>
      </c>
      <c r="F33" s="7"/>
    </row>
    <row r="34" spans="1:6">
      <c r="A34" s="60" t="s">
        <v>86</v>
      </c>
      <c r="B34" s="15" t="s">
        <v>28</v>
      </c>
      <c r="C34" s="65">
        <v>143</v>
      </c>
    </row>
    <row r="35" spans="1:6">
      <c r="A35" s="60"/>
      <c r="B35" s="15"/>
      <c r="C35" s="41"/>
    </row>
    <row r="36" spans="1:6">
      <c r="A36" s="60" t="s">
        <v>87</v>
      </c>
      <c r="B36" s="15" t="s">
        <v>88</v>
      </c>
      <c r="C36" s="66">
        <v>20</v>
      </c>
      <c r="F36" s="4"/>
    </row>
    <row r="37" spans="1:6">
      <c r="A37" s="61" t="s">
        <v>89</v>
      </c>
      <c r="B37" s="31" t="s">
        <v>15</v>
      </c>
      <c r="C37" s="78">
        <v>1.05</v>
      </c>
      <c r="D37" s="1" t="s">
        <v>90</v>
      </c>
    </row>
    <row r="38" spans="1:6">
      <c r="A38" s="60"/>
      <c r="B38" s="1"/>
      <c r="C38" s="1"/>
    </row>
    <row r="41" spans="1:6">
      <c r="A41" s="59" t="s">
        <v>91</v>
      </c>
      <c r="B41" s="53"/>
      <c r="C41" s="38"/>
      <c r="D41" s="1" t="s">
        <v>92</v>
      </c>
    </row>
    <row r="42" spans="1:6">
      <c r="A42" s="56" t="s">
        <v>6</v>
      </c>
      <c r="B42" s="52"/>
      <c r="C42" s="46" t="s">
        <v>60</v>
      </c>
      <c r="D42" s="1" t="s">
        <v>93</v>
      </c>
    </row>
    <row r="43" spans="1:6">
      <c r="A43" s="62" t="s">
        <v>94</v>
      </c>
      <c r="B43" s="15"/>
      <c r="C43" s="44"/>
      <c r="D43" s="64" t="s">
        <v>95</v>
      </c>
    </row>
    <row r="44" spans="1:6">
      <c r="A44" s="57" t="s">
        <v>96</v>
      </c>
      <c r="B44" s="15" t="s">
        <v>97</v>
      </c>
      <c r="C44" s="43">
        <f>+C19/1440*4.184 - IF(C4=1, -95.7735+(0.634*C8)+(0.404*C12)+(0.394*C6)+(0.271*C5), -59.3954+(0.45*C8)+(0.38*C12)+(0.103*C6)+(0.274*C5))</f>
        <v>8.2465715555555477</v>
      </c>
      <c r="D44" s="1" t="str">
        <f>_xlfn.CONCAT("om keytel te calibreren: ",ROUND(C44/4.184,1)," kcal/min in BMR extra(+) or less(-)")</f>
        <v>om keytel te calibreren: 2 kcal/min in BMR extra(+) or less(-)</v>
      </c>
    </row>
    <row r="45" spans="1:6">
      <c r="A45" s="57"/>
      <c r="B45" s="15"/>
      <c r="C45" s="43"/>
    </row>
    <row r="46" spans="1:6">
      <c r="A46" s="62" t="s">
        <v>98</v>
      </c>
      <c r="B46" s="15"/>
      <c r="C46" s="44"/>
    </row>
    <row r="47" spans="1:6">
      <c r="A47" s="57" t="s">
        <v>99</v>
      </c>
      <c r="B47" s="15" t="s">
        <v>100</v>
      </c>
      <c r="C47" s="44">
        <v>1</v>
      </c>
      <c r="D47" s="3" t="s">
        <v>101</v>
      </c>
    </row>
    <row r="48" spans="1:6">
      <c r="A48" s="57" t="s">
        <v>102</v>
      </c>
      <c r="B48" s="15" t="str">
        <f>B47</f>
        <v>speed/HR</v>
      </c>
      <c r="C48" s="44">
        <v>1</v>
      </c>
      <c r="D48" s="3" t="s">
        <v>103</v>
      </c>
    </row>
    <row r="49" spans="1:16">
      <c r="A49" s="57" t="s">
        <v>104</v>
      </c>
      <c r="B49" s="15" t="s">
        <v>15</v>
      </c>
      <c r="C49" s="44">
        <f>C48/C47</f>
        <v>1</v>
      </c>
      <c r="D49" s="1" t="s">
        <v>105</v>
      </c>
    </row>
    <row r="50" spans="1:16">
      <c r="A50" s="57"/>
      <c r="B50" s="15"/>
      <c r="C50" s="44"/>
    </row>
    <row r="51" spans="1:16">
      <c r="A51" s="62" t="s">
        <v>106</v>
      </c>
      <c r="B51" s="15"/>
      <c r="C51" s="44"/>
    </row>
    <row r="52" spans="1:16">
      <c r="A52" s="57" t="s">
        <v>107</v>
      </c>
      <c r="B52" s="15" t="s">
        <v>33</v>
      </c>
      <c r="C52" s="41">
        <f>C30*(1-0.0015*MAX(0,C36-24))*C49</f>
        <v>125</v>
      </c>
      <c r="D52" s="1" t="s">
        <v>108</v>
      </c>
    </row>
    <row r="53" spans="1:16">
      <c r="A53" s="57"/>
      <c r="B53" s="15"/>
      <c r="C53" s="43"/>
    </row>
    <row r="54" spans="1:16">
      <c r="A54" s="62" t="s">
        <v>109</v>
      </c>
      <c r="B54" s="15"/>
      <c r="C54" s="43"/>
    </row>
    <row r="55" spans="1:16">
      <c r="A55" s="57" t="s">
        <v>110</v>
      </c>
      <c r="B55" s="15" t="s">
        <v>15</v>
      </c>
      <c r="C55" s="43">
        <f>MAX(0.7, (0.7+0.3*(C30-C8)/(C9-C8)) - 0.0005*(HOUR(C28)*60+MINUTE(C28)))</f>
        <v>0.80628571428571416</v>
      </c>
      <c r="D55" s="3" t="s">
        <v>111</v>
      </c>
    </row>
    <row r="56" spans="1:16">
      <c r="A56" s="57" t="s">
        <v>112</v>
      </c>
      <c r="B56" s="15" t="s">
        <v>15</v>
      </c>
      <c r="C56" s="43">
        <f>(1.106*C55+3.941)/(1.106*MAX(0.7,(0.7+0.3*(C30-C8)/(C9-C8)))+3.941)</f>
        <v>0.98913431467260493</v>
      </c>
      <c r="D56" s="1" t="s">
        <v>113</v>
      </c>
    </row>
    <row r="57" spans="1:16">
      <c r="A57" s="57"/>
      <c r="B57" s="15"/>
      <c r="C57" s="43"/>
      <c r="D57" s="8" t="s">
        <v>114</v>
      </c>
    </row>
    <row r="58" spans="1:16">
      <c r="A58" s="62" t="s">
        <v>115</v>
      </c>
      <c r="B58" s="15"/>
      <c r="C58" s="43"/>
      <c r="D58" s="8"/>
    </row>
    <row r="59" spans="1:16">
      <c r="A59" s="57" t="s">
        <v>116</v>
      </c>
      <c r="B59" s="15" t="s">
        <v>97</v>
      </c>
      <c r="C59" s="43">
        <f>IF(C4=1, -95.7735+(0.634*C52)+(0.404*C12)+(0.394*C6)+(0.271*C5), -59.3954+(0.45*C52)+(0.38*C12)+(0.103*C6)+(0.274*C5))+C44</f>
        <v>50.589071555555556</v>
      </c>
      <c r="D59" s="1" t="s">
        <v>117</v>
      </c>
      <c r="E59" s="32" t="s">
        <v>118</v>
      </c>
      <c r="F59" s="33" t="s">
        <v>119</v>
      </c>
      <c r="G59" s="33" t="s">
        <v>120</v>
      </c>
      <c r="H59" s="33" t="s">
        <v>121</v>
      </c>
      <c r="I59" s="34" t="s">
        <v>122</v>
      </c>
      <c r="J59" s="16"/>
      <c r="K59" s="16" t="s">
        <v>123</v>
      </c>
      <c r="L59" s="16"/>
      <c r="M59" s="17"/>
      <c r="N59" s="8" t="s">
        <v>124</v>
      </c>
    </row>
    <row r="60" spans="1:16">
      <c r="A60" s="58" t="s">
        <v>125</v>
      </c>
      <c r="B60" s="31" t="s">
        <v>97</v>
      </c>
      <c r="C60" s="47">
        <f>C59*C56</f>
        <v>50.039386623027816</v>
      </c>
      <c r="E60" s="23" t="s">
        <v>126</v>
      </c>
      <c r="F60" s="29">
        <v>1</v>
      </c>
      <c r="G60" s="24">
        <f>H60*4.184</f>
        <v>21.116647999999998</v>
      </c>
      <c r="H60" s="26">
        <v>5.0469999999999997</v>
      </c>
      <c r="I60" s="35" t="s">
        <v>127</v>
      </c>
      <c r="J60" s="18"/>
      <c r="K60" s="18" t="s">
        <v>128</v>
      </c>
      <c r="L60" s="18"/>
      <c r="M60" s="19"/>
      <c r="N60" s="3" t="s">
        <v>129</v>
      </c>
    </row>
    <row r="61" spans="1:16">
      <c r="A61" s="8" t="s">
        <v>130</v>
      </c>
      <c r="B61" s="5" t="s">
        <v>97</v>
      </c>
      <c r="C61" s="2">
        <f>IF(C4=1, -95.7735+(0.634*C30)+(0.404*C12)+(0.394*C6)+(0.271*C5), -59.3954+(0.45*C30)+(0.38*C12)+(0.103*C6)+(0.274*C5))</f>
        <v>42.342500000000008</v>
      </c>
      <c r="E61" s="23" t="s">
        <v>131</v>
      </c>
      <c r="F61" s="29">
        <v>0.95</v>
      </c>
      <c r="G61" s="24">
        <f t="shared" ref="G61:G64" si="0">H61*4.184</f>
        <v>20.864910666666667</v>
      </c>
      <c r="H61" s="26">
        <f>$H$60*(F61-0.7)/0.3+$H$64*(1-(F61-0.7)/0.3)</f>
        <v>4.9868333333333332</v>
      </c>
      <c r="I61" s="35" t="s">
        <v>132</v>
      </c>
      <c r="J61" s="18"/>
      <c r="K61" s="18"/>
      <c r="L61" s="18"/>
      <c r="M61" s="19"/>
    </row>
    <row r="62" spans="1:16">
      <c r="A62" s="8" t="s">
        <v>133</v>
      </c>
      <c r="B62" s="5" t="s">
        <v>134</v>
      </c>
      <c r="C62" s="2">
        <f>C60/4.184 * (4.55*C55-3.21)/(3.941+1.106*C55)</f>
        <v>1.134905871399666</v>
      </c>
      <c r="D62" s="1" t="s">
        <v>135</v>
      </c>
      <c r="E62" s="23" t="s">
        <v>136</v>
      </c>
      <c r="F62" s="29">
        <v>0.85</v>
      </c>
      <c r="G62" s="24">
        <f t="shared" si="0"/>
        <v>20.361436000000001</v>
      </c>
      <c r="H62" s="26">
        <f>$H$60*(F62-0.7)/0.3+$H$64*(1-(F62-0.7)/0.3)</f>
        <v>4.8665000000000003</v>
      </c>
      <c r="I62" s="35" t="s">
        <v>137</v>
      </c>
      <c r="J62" s="18"/>
      <c r="K62" s="18"/>
      <c r="L62" s="18"/>
      <c r="M62" s="19"/>
      <c r="N62" s="3" t="s">
        <v>138</v>
      </c>
    </row>
    <row r="63" spans="1:16">
      <c r="A63" s="37" t="s">
        <v>139</v>
      </c>
      <c r="B63" s="5" t="s">
        <v>140</v>
      </c>
      <c r="C63" s="2">
        <f>(C60*(1-C55))/(12.17*(C55-0.7)+12.21*(1-C55))</f>
        <v>2.649360525332852</v>
      </c>
      <c r="E63" s="23" t="s">
        <v>141</v>
      </c>
      <c r="F63" s="29">
        <v>0.75</v>
      </c>
      <c r="G63" s="24">
        <f t="shared" si="0"/>
        <v>19.857961333333332</v>
      </c>
      <c r="H63" s="26">
        <f>$H$60*(F63-0.7)/0.3+$H$64*(1-(F63-0.7)/0.3)</f>
        <v>4.7461666666666664</v>
      </c>
      <c r="I63" s="35" t="s">
        <v>142</v>
      </c>
      <c r="J63" s="18"/>
      <c r="K63" s="18"/>
      <c r="L63" s="18"/>
      <c r="M63" s="19"/>
      <c r="N63" s="1">
        <f>(0.85-0.7)/0.3</f>
        <v>0.50000000000000011</v>
      </c>
      <c r="O63" s="1">
        <f>5.05/2+4.69/2</f>
        <v>4.87</v>
      </c>
      <c r="P63" s="1" t="s">
        <v>121</v>
      </c>
    </row>
    <row r="64" spans="1:16">
      <c r="C64" s="2"/>
      <c r="E64" s="30" t="s">
        <v>143</v>
      </c>
      <c r="F64" s="36">
        <v>0.7</v>
      </c>
      <c r="G64" s="92">
        <f t="shared" si="0"/>
        <v>19.606224000000001</v>
      </c>
      <c r="H64" s="93">
        <v>4.6859999999999999</v>
      </c>
      <c r="I64" s="94" t="s">
        <v>144</v>
      </c>
      <c r="J64" s="21"/>
      <c r="K64" s="21"/>
      <c r="L64" s="21"/>
      <c r="M64" s="22"/>
    </row>
    <row r="65" spans="1:4">
      <c r="C65" s="2"/>
    </row>
    <row r="66" spans="1:4">
      <c r="A66" s="59" t="s">
        <v>145</v>
      </c>
      <c r="B66" s="53"/>
      <c r="C66" s="38"/>
    </row>
    <row r="67" spans="1:4">
      <c r="A67" s="56" t="s">
        <v>6</v>
      </c>
      <c r="B67" s="52"/>
      <c r="C67" s="46" t="s">
        <v>60</v>
      </c>
    </row>
    <row r="68" spans="1:4">
      <c r="A68" s="62" t="s">
        <v>146</v>
      </c>
      <c r="B68" s="15"/>
      <c r="C68" s="44"/>
      <c r="D68" s="1" t="s">
        <v>147</v>
      </c>
    </row>
    <row r="69" spans="1:4">
      <c r="A69" s="57" t="s">
        <v>148</v>
      </c>
      <c r="B69" s="15" t="s">
        <v>52</v>
      </c>
      <c r="C69" s="43">
        <f>C19/1440/4.82*1000/C6</f>
        <v>3.5001317262728051</v>
      </c>
      <c r="D69" s="1" t="s">
        <v>149</v>
      </c>
    </row>
    <row r="70" spans="1:4">
      <c r="A70" s="57"/>
      <c r="B70" s="15"/>
      <c r="C70" s="44"/>
      <c r="D70" s="1" t="s">
        <v>150</v>
      </c>
    </row>
    <row r="71" spans="1:4">
      <c r="A71" s="62" t="s">
        <v>151</v>
      </c>
      <c r="B71" s="15"/>
      <c r="C71" s="44"/>
      <c r="D71" s="64" t="s">
        <v>152</v>
      </c>
    </row>
    <row r="72" spans="1:4">
      <c r="A72" s="57" t="s">
        <v>153</v>
      </c>
      <c r="B72" s="15" t="s">
        <v>15</v>
      </c>
      <c r="C72" s="43">
        <f>C37</f>
        <v>1.05</v>
      </c>
    </row>
    <row r="73" spans="1:4">
      <c r="A73" s="57"/>
      <c r="B73" s="15"/>
      <c r="C73" s="44"/>
    </row>
    <row r="74" spans="1:4">
      <c r="A74" s="62" t="s">
        <v>154</v>
      </c>
      <c r="B74" s="15"/>
      <c r="C74" s="44"/>
    </row>
    <row r="75" spans="1:4">
      <c r="A75" s="63" t="s">
        <v>155</v>
      </c>
      <c r="B75" s="15" t="s">
        <v>15</v>
      </c>
      <c r="C75" s="43">
        <f>1+MIN(0.25, C76+C77+C78)</f>
        <v>1.0192000000000001</v>
      </c>
      <c r="D75" s="1" t="s">
        <v>156</v>
      </c>
    </row>
    <row r="76" spans="1:4">
      <c r="A76" s="63" t="s">
        <v>157</v>
      </c>
      <c r="B76" s="15" t="s">
        <v>15</v>
      </c>
      <c r="C76" s="43">
        <f>IF(HOUR(C28)&lt;12,0.005*HOUR(C28), IF(HOUR(C28)&lt;24,MIN(0.1,0.005*HOUR(C28)+0.0025*HOUR(C28)),0.1))</f>
        <v>5.0000000000000001E-3</v>
      </c>
      <c r="D76" s="1" t="s">
        <v>158</v>
      </c>
    </row>
    <row r="77" spans="1:4">
      <c r="A77" s="57" t="s">
        <v>159</v>
      </c>
      <c r="B77" s="15" t="s">
        <v>15</v>
      </c>
      <c r="C77" s="43">
        <f>(C33/300)*0.01</f>
        <v>4.6666666666666671E-3</v>
      </c>
      <c r="D77" s="1" t="s">
        <v>160</v>
      </c>
    </row>
    <row r="78" spans="1:4">
      <c r="A78" s="57" t="s">
        <v>161</v>
      </c>
      <c r="B78" s="15" t="s">
        <v>15</v>
      </c>
      <c r="C78" s="43">
        <f>(C34/300)*0.02</f>
        <v>9.5333333333333346E-3</v>
      </c>
      <c r="D78" s="1" t="s">
        <v>162</v>
      </c>
    </row>
    <row r="79" spans="1:4">
      <c r="A79" s="57"/>
      <c r="B79" s="15"/>
      <c r="C79" s="43"/>
    </row>
    <row r="80" spans="1:4">
      <c r="A80" s="62" t="s">
        <v>163</v>
      </c>
      <c r="B80" s="15"/>
      <c r="C80" s="44"/>
    </row>
    <row r="81" spans="1:4">
      <c r="A81" s="57" t="s">
        <v>164</v>
      </c>
      <c r="B81" s="15" t="s">
        <v>165</v>
      </c>
      <c r="C81" s="43">
        <f>(155.4*POWER(C32,5) - 30.4*POWER(C32,4) - 43.3*POWER(C32,3) + 46.3*POWER(C32,2) + 19.5*C32 + C69)*C72*C75</f>
        <v>4.1300476371885608</v>
      </c>
      <c r="D81" s="3" t="s">
        <v>166</v>
      </c>
    </row>
    <row r="82" spans="1:4">
      <c r="A82" s="57" t="s">
        <v>167</v>
      </c>
      <c r="B82" s="15" t="s">
        <v>168</v>
      </c>
      <c r="C82" s="41">
        <f>1/((MINUTE(C26)*60+SECOND(C26))/60/1000)</f>
        <v>166.2049861495845</v>
      </c>
      <c r="D82" s="3"/>
    </row>
    <row r="83" spans="1:4">
      <c r="A83" s="98" t="s">
        <v>169</v>
      </c>
      <c r="B83" s="15" t="s">
        <v>97</v>
      </c>
      <c r="C83" s="48">
        <f>C81*C82*C6/1000</f>
        <v>48.050415723523422</v>
      </c>
      <c r="D83" s="1" t="s">
        <v>170</v>
      </c>
    </row>
    <row r="84" spans="1:4">
      <c r="A84" s="99"/>
      <c r="B84" s="31"/>
      <c r="C84" s="49"/>
    </row>
    <row r="85" spans="1:4">
      <c r="A85" s="37" t="s">
        <v>171</v>
      </c>
      <c r="B85" s="5" t="s">
        <v>97</v>
      </c>
      <c r="C85" s="2">
        <f>(155.4*POWER(C32,5) - 30.4*POWER(C32,4) - 43.3*POWER(C32,3) + 46.3*POWER(C32,2) + 19.5*C32 + 3.6)*C82*C6/1000</f>
        <v>46.062118885274799</v>
      </c>
    </row>
    <row r="86" spans="1:4">
      <c r="A86" s="37" t="s">
        <v>133</v>
      </c>
      <c r="B86" s="5" t="s">
        <v>134</v>
      </c>
      <c r="C86" s="2">
        <f>C83/4.184 * (4.55*C55-3.21)/(3.941+1.106*C55)</f>
        <v>1.0897955112568458</v>
      </c>
    </row>
    <row r="87" spans="1:4">
      <c r="A87" s="37" t="s">
        <v>139</v>
      </c>
      <c r="B87" s="5" t="s">
        <v>140</v>
      </c>
      <c r="C87" s="2">
        <f>(C83*(1-C55))/(12.17*(C55-0.7)+12.21*(1-C55))</f>
        <v>2.5440534593833721</v>
      </c>
    </row>
    <row r="88" spans="1:4">
      <c r="A88" s="37"/>
      <c r="C88" s="2"/>
    </row>
    <row r="89" spans="1:4">
      <c r="C89" s="2"/>
    </row>
    <row r="90" spans="1:4">
      <c r="A90" s="59" t="s">
        <v>172</v>
      </c>
      <c r="B90" s="50"/>
      <c r="C90" s="38"/>
      <c r="D90" s="1" t="s">
        <v>173</v>
      </c>
    </row>
    <row r="91" spans="1:4">
      <c r="A91" s="56" t="s">
        <v>6</v>
      </c>
      <c r="B91" s="52"/>
      <c r="C91" s="40" t="s">
        <v>60</v>
      </c>
      <c r="D91" s="1" t="s">
        <v>174</v>
      </c>
    </row>
    <row r="92" spans="1:4">
      <c r="A92" s="57" t="s">
        <v>175</v>
      </c>
      <c r="B92" s="15" t="str" cm="1">
        <f t="array" ref="B92:C92">B60:C60</f>
        <v>kJ/min</v>
      </c>
      <c r="C92" s="43">
        <v>50.039386623027816</v>
      </c>
    </row>
    <row r="93" spans="1:4">
      <c r="A93" s="57" t="s">
        <v>176</v>
      </c>
      <c r="B93" s="15" t="str" cm="1">
        <f t="array" ref="B93:C93">B83:C83</f>
        <v>kJ/min</v>
      </c>
      <c r="C93" s="43">
        <v>48.050415723523422</v>
      </c>
    </row>
    <row r="94" spans="1:4">
      <c r="A94" s="57"/>
      <c r="B94" s="15"/>
      <c r="C94" s="43"/>
    </row>
    <row r="95" spans="1:4">
      <c r="A95" s="57" t="s">
        <v>177</v>
      </c>
      <c r="B95" s="15" t="s">
        <v>15</v>
      </c>
      <c r="C95" s="43">
        <f>C93/C92</f>
        <v>0.96025189288413293</v>
      </c>
      <c r="D95" s="1" t="s">
        <v>178</v>
      </c>
    </row>
    <row r="96" spans="1:4">
      <c r="A96" s="57"/>
      <c r="B96" s="15"/>
      <c r="C96" s="43"/>
      <c r="D96" s="1" t="s">
        <v>179</v>
      </c>
    </row>
    <row r="97" spans="1:5">
      <c r="A97" s="57" t="s">
        <v>180</v>
      </c>
      <c r="B97" s="15" t="s">
        <v>181</v>
      </c>
      <c r="C97" s="41">
        <f>(C92 / 4.184) * (HOUR(C28)*60+MINUTE(C28))</f>
        <v>1148.131241828554</v>
      </c>
    </row>
    <row r="98" spans="1:5">
      <c r="A98" s="72" t="s">
        <v>182</v>
      </c>
      <c r="B98" s="73" t="s">
        <v>181</v>
      </c>
      <c r="C98" s="74">
        <f>C97-C19*(HOUR(C28)+MINUTE(C28)/60)/24</f>
        <v>1034.7605751618873</v>
      </c>
    </row>
    <row r="99" spans="1:5">
      <c r="A99" s="57" t="s">
        <v>183</v>
      </c>
      <c r="B99" s="15" t="s">
        <v>181</v>
      </c>
      <c r="C99" s="41">
        <f>(C93 / 4.184) * (HOUR(C28)*60+MINUTE(C28))</f>
        <v>1102.4951982452794</v>
      </c>
    </row>
    <row r="100" spans="1:5">
      <c r="A100" s="69" t="s">
        <v>184</v>
      </c>
      <c r="B100" s="70" t="s">
        <v>181</v>
      </c>
      <c r="C100" s="71">
        <f>C99-C19*(HOUR(C28)+MINUTE(C28)/60)/24</f>
        <v>989.12453157861273</v>
      </c>
    </row>
    <row r="101" spans="1:5">
      <c r="C101" s="2"/>
    </row>
    <row r="102" spans="1:5">
      <c r="A102" s="8" t="s">
        <v>185</v>
      </c>
      <c r="C102" s="2"/>
    </row>
    <row r="103" spans="1:5">
      <c r="A103" s="8" t="s">
        <v>186</v>
      </c>
      <c r="C103" s="2"/>
    </row>
    <row r="104" spans="1:5">
      <c r="A104" s="8" t="s">
        <v>187</v>
      </c>
      <c r="C104" s="2"/>
    </row>
    <row r="105" spans="1:5">
      <c r="A105" s="8" t="s">
        <v>124</v>
      </c>
      <c r="C105" s="2"/>
    </row>
    <row r="106" spans="1:5">
      <c r="C106" s="2"/>
    </row>
    <row r="107" spans="1:5">
      <c r="A107" s="8" t="s">
        <v>188</v>
      </c>
      <c r="C107" s="2"/>
    </row>
    <row r="108" spans="1:5">
      <c r="C108" s="2"/>
    </row>
    <row r="109" spans="1:5">
      <c r="C109" s="79" t="s">
        <v>189</v>
      </c>
    </row>
    <row r="110" spans="1:5">
      <c r="B110" s="88"/>
      <c r="C110" s="89" t="s">
        <v>190</v>
      </c>
      <c r="D110" s="89" t="s">
        <v>191</v>
      </c>
      <c r="E110" s="90" t="s">
        <v>192</v>
      </c>
    </row>
    <row r="111" spans="1:5">
      <c r="B111" s="81" t="s">
        <v>193</v>
      </c>
      <c r="C111" s="15"/>
      <c r="D111" s="82">
        <f>C97</f>
        <v>1148.131241828554</v>
      </c>
      <c r="E111" s="41">
        <f>C99</f>
        <v>1102.4951982452794</v>
      </c>
    </row>
    <row r="112" spans="1:5">
      <c r="B112" s="83" t="s">
        <v>194</v>
      </c>
      <c r="C112" s="31">
        <v>1051</v>
      </c>
      <c r="D112" s="84">
        <f>C98</f>
        <v>1034.7605751618873</v>
      </c>
      <c r="E112" s="45">
        <f>C100</f>
        <v>989.12453157861273</v>
      </c>
    </row>
    <row r="113" spans="2:5">
      <c r="B113" s="85" t="s">
        <v>195</v>
      </c>
      <c r="C113" s="80"/>
      <c r="D113" s="86">
        <f>(C61 / 4.184) * (HOUR(C28)*60+MINUTE(C28))</f>
        <v>971.52963671128123</v>
      </c>
      <c r="E113" s="87">
        <f>(C85 / 4.184) * (HOUR(C28)*60+MINUTE(C28))</f>
        <v>1056.8746206946416</v>
      </c>
    </row>
    <row r="114" spans="2:5">
      <c r="B114" s="83" t="s">
        <v>196</v>
      </c>
      <c r="C114" s="31"/>
      <c r="D114" s="84">
        <f>D113-C19*(HOUR(C28)+MINUTE(C28)/60)/24</f>
        <v>858.15897004461453</v>
      </c>
      <c r="E114" s="45">
        <f>E113-C19*(HOUR(C28)+MINUTE(C28)/60)/24</f>
        <v>943.50395402797494</v>
      </c>
    </row>
  </sheetData>
  <mergeCells count="1">
    <mergeCell ref="A83:A84"/>
  </mergeCells>
  <pageMargins left="0.75" right="0.75" top="1" bottom="1" header="0.5" footer="0.5"/>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Arno Meessens</cp:lastModifiedBy>
  <cp:revision/>
  <dcterms:created xsi:type="dcterms:W3CDTF">2026-04-13T15:11:06Z</dcterms:created>
  <dcterms:modified xsi:type="dcterms:W3CDTF">2026-04-15T19:57:46Z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3f08ec5-d6d9-4227-8387-ccbfcb3632c4_Enabled">
    <vt:lpwstr>true</vt:lpwstr>
  </property>
  <property fmtid="{D5CDD505-2E9C-101B-9397-08002B2CF9AE}" pid="3" name="MSIP_Label_43f08ec5-d6d9-4227-8387-ccbfcb3632c4_SetDate">
    <vt:lpwstr>2026-04-13T15:51:13Z</vt:lpwstr>
  </property>
  <property fmtid="{D5CDD505-2E9C-101B-9397-08002B2CF9AE}" pid="4" name="MSIP_Label_43f08ec5-d6d9-4227-8387-ccbfcb3632c4_Method">
    <vt:lpwstr>Standard</vt:lpwstr>
  </property>
  <property fmtid="{D5CDD505-2E9C-101B-9397-08002B2CF9AE}" pid="5" name="MSIP_Label_43f08ec5-d6d9-4227-8387-ccbfcb3632c4_Name">
    <vt:lpwstr>Sweco Restricted</vt:lpwstr>
  </property>
  <property fmtid="{D5CDD505-2E9C-101B-9397-08002B2CF9AE}" pid="6" name="MSIP_Label_43f08ec5-d6d9-4227-8387-ccbfcb3632c4_SiteId">
    <vt:lpwstr>b7872ef0-9a00-4c18-8a4a-c7d25c778a9e</vt:lpwstr>
  </property>
  <property fmtid="{D5CDD505-2E9C-101B-9397-08002B2CF9AE}" pid="7" name="MSIP_Label_43f08ec5-d6d9-4227-8387-ccbfcb3632c4_ActionId">
    <vt:lpwstr>aa50e9e1-a877-4118-a095-ad93562b947e</vt:lpwstr>
  </property>
  <property fmtid="{D5CDD505-2E9C-101B-9397-08002B2CF9AE}" pid="8" name="MSIP_Label_43f08ec5-d6d9-4227-8387-ccbfcb3632c4_ContentBits">
    <vt:lpwstr>0</vt:lpwstr>
  </property>
  <property fmtid="{D5CDD505-2E9C-101B-9397-08002B2CF9AE}" pid="9" name="MSIP_Label_43f08ec5-d6d9-4227-8387-ccbfcb3632c4_Tag">
    <vt:lpwstr>10, 3, 0, 1</vt:lpwstr>
  </property>
</Properties>
</file>