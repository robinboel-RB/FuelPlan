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obin\Projects\Fuelplan\docs\"/>
    </mc:Choice>
  </mc:AlternateContent>
  <xr:revisionPtr revIDLastSave="0" documentId="8_{1D014E53-DFC0-48EB-93F6-B83EFEF00CF0}" xr6:coauthVersionLast="47" xr6:coauthVersionMax="47" xr10:uidLastSave="{00000000-0000-0000-0000-000000000000}"/>
  <bookViews>
    <workbookView xWindow="3060" yWindow="-16320" windowWidth="29040" windowHeight="15720" activeTab="1" xr2:uid="{00000000-000D-0000-FFFF-FFFF00000000}"/>
  </bookViews>
  <sheets>
    <sheet name="Calculator" sheetId="1" r:id="rId1"/>
    <sheet name="Uurlijkse calc" sheetId="2" r:id="rId2"/>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2" l="1"/>
  <c r="X3" i="2"/>
  <c r="S3" i="2"/>
  <c r="H4" i="2"/>
  <c r="L1" i="2" a="1"/>
  <c r="L1" i="2" s="1"/>
  <c r="K1" i="2" a="1"/>
  <c r="K1" i="2" s="1"/>
  <c r="J1" i="2"/>
  <c r="C28" i="2"/>
  <c r="C25" i="2"/>
  <c r="C27" i="2" s="1"/>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3" i="2"/>
  <c r="C32" i="1"/>
  <c r="C81" i="1"/>
  <c r="P3" i="2"/>
  <c r="C78" i="1"/>
  <c r="C77" i="1"/>
  <c r="C76" i="1"/>
  <c r="C75" i="1"/>
  <c r="C72" i="1"/>
  <c r="C69" i="1"/>
  <c r="O3" i="2"/>
  <c r="C82" i="1"/>
  <c r="G4" i="2"/>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38" i="2" s="1"/>
  <c r="G139"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1" i="2" s="1"/>
  <c r="G172"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N482" i="2" s="1"/>
  <c r="F1" i="2"/>
  <c r="C98" i="1"/>
  <c r="D112" i="1"/>
  <c r="C63" i="1"/>
  <c r="C62" i="1"/>
  <c r="E4" i="2"/>
  <c r="C44" i="1"/>
  <c r="C52" i="1"/>
  <c r="C55" i="1"/>
  <c r="C59" i="1"/>
  <c r="C56" i="1"/>
  <c r="C49" i="1"/>
  <c r="C60" i="1"/>
  <c r="J2" i="1"/>
  <c r="C61" i="1"/>
  <c r="C20" i="1"/>
  <c r="H61" i="1"/>
  <c r="D113" i="1"/>
  <c r="H63" i="1"/>
  <c r="H62" i="1"/>
  <c r="O63" i="1"/>
  <c r="N63" i="1"/>
  <c r="C17" i="1"/>
  <c r="C18" i="1" s="1"/>
  <c r="I1" i="2" l="1"/>
  <c r="O4" i="2"/>
  <c r="H5" i="2"/>
  <c r="C29" i="2"/>
  <c r="C31" i="2"/>
  <c r="C30" i="2"/>
  <c r="C26" i="2"/>
  <c r="P4" i="2"/>
  <c r="N33" i="2"/>
  <c r="N355" i="2"/>
  <c r="N91" i="2"/>
  <c r="N265" i="2"/>
  <c r="N140" i="2"/>
  <c r="N87" i="2"/>
  <c r="N341" i="2"/>
  <c r="N183" i="2"/>
  <c r="N133" i="2"/>
  <c r="N79" i="2"/>
  <c r="N338" i="2"/>
  <c r="N242" i="2"/>
  <c r="N180" i="2"/>
  <c r="N123" i="2"/>
  <c r="N77" i="2"/>
  <c r="N29" i="2"/>
  <c r="N240" i="2"/>
  <c r="N76" i="2"/>
  <c r="N239" i="2"/>
  <c r="N121" i="2"/>
  <c r="N315" i="2"/>
  <c r="N74" i="2"/>
  <c r="N314" i="2"/>
  <c r="N175" i="2"/>
  <c r="N119" i="2"/>
  <c r="N21" i="2"/>
  <c r="N311" i="2"/>
  <c r="N232" i="2"/>
  <c r="N171" i="2"/>
  <c r="N117" i="2"/>
  <c r="N65" i="2"/>
  <c r="N20" i="2"/>
  <c r="N244" i="2"/>
  <c r="N243" i="2"/>
  <c r="N30" i="2"/>
  <c r="N318" i="2"/>
  <c r="N179" i="2"/>
  <c r="N122" i="2"/>
  <c r="N28" i="2"/>
  <c r="N316" i="2"/>
  <c r="N177" i="2"/>
  <c r="N75" i="2"/>
  <c r="N24" i="2"/>
  <c r="N238" i="2"/>
  <c r="N176" i="2"/>
  <c r="N120" i="2"/>
  <c r="N23" i="2"/>
  <c r="N234" i="2"/>
  <c r="N73" i="2"/>
  <c r="N300" i="2"/>
  <c r="N231" i="2"/>
  <c r="N170" i="2"/>
  <c r="N116" i="2"/>
  <c r="N64" i="2"/>
  <c r="N19" i="2"/>
  <c r="N90" i="2"/>
  <c r="N44" i="2"/>
  <c r="N198" i="2"/>
  <c r="N353" i="2"/>
  <c r="N81" i="2"/>
  <c r="N340" i="2"/>
  <c r="N182" i="2"/>
  <c r="N32" i="2"/>
  <c r="N181" i="2"/>
  <c r="N132" i="2"/>
  <c r="N466" i="2"/>
  <c r="N299" i="2"/>
  <c r="N230" i="2"/>
  <c r="N169" i="2"/>
  <c r="N115" i="2"/>
  <c r="N63" i="2"/>
  <c r="N18" i="2"/>
  <c r="N465" i="2"/>
  <c r="N298" i="2"/>
  <c r="N229" i="2"/>
  <c r="N168" i="2"/>
  <c r="N111" i="2"/>
  <c r="N62" i="2"/>
  <c r="N17" i="2"/>
  <c r="N464" i="2"/>
  <c r="N297" i="2"/>
  <c r="N228" i="2"/>
  <c r="N166" i="2"/>
  <c r="N110" i="2"/>
  <c r="N61" i="2"/>
  <c r="N16" i="2"/>
  <c r="N438" i="2"/>
  <c r="N296" i="2"/>
  <c r="N215" i="2"/>
  <c r="N165" i="2"/>
  <c r="N109" i="2"/>
  <c r="N59" i="2"/>
  <c r="N15" i="2"/>
  <c r="N437" i="2"/>
  <c r="N282" i="2"/>
  <c r="N214" i="2"/>
  <c r="N164" i="2"/>
  <c r="N108" i="2"/>
  <c r="N58" i="2"/>
  <c r="N7" i="2"/>
  <c r="N436" i="2"/>
  <c r="N281" i="2"/>
  <c r="N213" i="2"/>
  <c r="N153" i="2"/>
  <c r="N107" i="2"/>
  <c r="N57" i="2"/>
  <c r="N6" i="2"/>
  <c r="N408" i="2"/>
  <c r="N280" i="2"/>
  <c r="N212" i="2"/>
  <c r="N152" i="2"/>
  <c r="N105" i="2"/>
  <c r="N53" i="2"/>
  <c r="N5" i="2"/>
  <c r="N407" i="2"/>
  <c r="N278" i="2"/>
  <c r="N211" i="2"/>
  <c r="N151" i="2"/>
  <c r="N104" i="2"/>
  <c r="N52" i="2"/>
  <c r="N4" i="2"/>
  <c r="N404" i="2"/>
  <c r="N277" i="2"/>
  <c r="N209" i="2"/>
  <c r="N150" i="2"/>
  <c r="N103" i="2"/>
  <c r="N51" i="2"/>
  <c r="N201" i="2"/>
  <c r="N356" i="2"/>
  <c r="N88" i="2"/>
  <c r="N263" i="2"/>
  <c r="N138" i="2"/>
  <c r="N135" i="2"/>
  <c r="N49" i="2"/>
  <c r="N381" i="2"/>
  <c r="N46" i="2"/>
  <c r="N141" i="2"/>
  <c r="N199" i="2"/>
  <c r="N245" i="2"/>
  <c r="N80" i="2"/>
  <c r="N339" i="2"/>
  <c r="N400" i="2"/>
  <c r="N272" i="2"/>
  <c r="N208" i="2"/>
  <c r="N149" i="2"/>
  <c r="N94" i="2"/>
  <c r="N383" i="2"/>
  <c r="N271" i="2"/>
  <c r="N207" i="2"/>
  <c r="N147" i="2"/>
  <c r="N93" i="2"/>
  <c r="N48" i="2"/>
  <c r="N382" i="2"/>
  <c r="N270" i="2"/>
  <c r="N202" i="2"/>
  <c r="N146" i="2"/>
  <c r="N92" i="2"/>
  <c r="N47" i="2"/>
  <c r="N266" i="2"/>
  <c r="N145" i="2"/>
  <c r="N200" i="2"/>
  <c r="N45" i="2"/>
  <c r="N264" i="2"/>
  <c r="N354" i="2"/>
  <c r="N36" i="2"/>
  <c r="N262" i="2"/>
  <c r="N197" i="2"/>
  <c r="N137" i="2"/>
  <c r="N86" i="2"/>
  <c r="N35" i="2"/>
  <c r="N350" i="2"/>
  <c r="N247" i="2"/>
  <c r="N196" i="2"/>
  <c r="N136" i="2"/>
  <c r="N82" i="2"/>
  <c r="N34" i="2"/>
  <c r="N380" i="2"/>
  <c r="N337" i="2"/>
  <c r="N378" i="2"/>
  <c r="N292" i="2"/>
  <c r="N326" i="2"/>
  <c r="N435" i="2"/>
  <c r="N432" i="2"/>
  <c r="N428" i="2"/>
  <c r="N295" i="2"/>
  <c r="N427" i="2"/>
  <c r="N329" i="2"/>
  <c r="N259" i="2"/>
  <c r="N227" i="2"/>
  <c r="N328" i="2"/>
  <c r="N194" i="2"/>
  <c r="N372" i="2"/>
  <c r="N291" i="2"/>
  <c r="N225" i="2"/>
  <c r="N131" i="2"/>
  <c r="N371" i="2"/>
  <c r="N256" i="2"/>
  <c r="N192" i="2"/>
  <c r="N101" i="2"/>
  <c r="N14" i="2"/>
  <c r="N423" i="2"/>
  <c r="N325" i="2"/>
  <c r="N255" i="2"/>
  <c r="N189" i="2"/>
  <c r="N129" i="2"/>
  <c r="N100" i="2"/>
  <c r="N71" i="2"/>
  <c r="N42" i="2"/>
  <c r="N369" i="2"/>
  <c r="N254" i="2"/>
  <c r="N128" i="2"/>
  <c r="N12" i="2"/>
  <c r="N412" i="2"/>
  <c r="N323" i="2"/>
  <c r="N253" i="2"/>
  <c r="N187" i="2"/>
  <c r="N157" i="2"/>
  <c r="N98" i="2"/>
  <c r="N69" i="2"/>
  <c r="N11" i="2"/>
  <c r="N411" i="2"/>
  <c r="N285" i="2"/>
  <c r="N39" i="2"/>
  <c r="N410" i="2"/>
  <c r="N320" i="2"/>
  <c r="N284" i="2"/>
  <c r="N250" i="2"/>
  <c r="N217" i="2"/>
  <c r="N185" i="2"/>
  <c r="N155" i="2"/>
  <c r="N125" i="2"/>
  <c r="N96" i="2"/>
  <c r="N67" i="2"/>
  <c r="N38" i="2"/>
  <c r="N9" i="2"/>
  <c r="N379" i="2"/>
  <c r="N334" i="2"/>
  <c r="N260" i="2"/>
  <c r="N376" i="2"/>
  <c r="N294" i="2"/>
  <c r="N426" i="2"/>
  <c r="N375" i="2"/>
  <c r="N258" i="2"/>
  <c r="N226" i="2"/>
  <c r="N163" i="2"/>
  <c r="N425" i="2"/>
  <c r="N327" i="2"/>
  <c r="N257" i="2"/>
  <c r="N193" i="2"/>
  <c r="N161" i="2"/>
  <c r="N102" i="2"/>
  <c r="N424" i="2"/>
  <c r="N290" i="2"/>
  <c r="N224" i="2"/>
  <c r="N160" i="2"/>
  <c r="N130" i="2"/>
  <c r="N72" i="2"/>
  <c r="N43" i="2"/>
  <c r="N370" i="2"/>
  <c r="N288" i="2"/>
  <c r="N222" i="2"/>
  <c r="N159" i="2"/>
  <c r="N13" i="2"/>
  <c r="N481" i="2"/>
  <c r="N413" i="2"/>
  <c r="N324" i="2"/>
  <c r="N287" i="2"/>
  <c r="N221" i="2"/>
  <c r="N188" i="2"/>
  <c r="N158" i="2"/>
  <c r="N99" i="2"/>
  <c r="N70" i="2"/>
  <c r="N41" i="2"/>
  <c r="N480" i="2"/>
  <c r="N368" i="2"/>
  <c r="N286" i="2"/>
  <c r="N220" i="2"/>
  <c r="N127" i="2"/>
  <c r="N40" i="2"/>
  <c r="N469" i="2"/>
  <c r="N367" i="2"/>
  <c r="N322" i="2"/>
  <c r="N252" i="2"/>
  <c r="N219" i="2"/>
  <c r="N186" i="2"/>
  <c r="N156" i="2"/>
  <c r="N126" i="2"/>
  <c r="N97" i="2"/>
  <c r="N68" i="2"/>
  <c r="N10" i="2"/>
  <c r="N468" i="2"/>
  <c r="N366" i="2"/>
  <c r="N467" i="2"/>
  <c r="N409" i="2"/>
  <c r="N357" i="2"/>
  <c r="N319" i="2"/>
  <c r="N283" i="2"/>
  <c r="N249" i="2"/>
  <c r="N216" i="2"/>
  <c r="N184" i="2"/>
  <c r="N154" i="2"/>
  <c r="N124" i="2"/>
  <c r="N95" i="2"/>
  <c r="N66" i="2"/>
  <c r="N37" i="2"/>
  <c r="N8" i="2"/>
  <c r="N456" i="2"/>
  <c r="N399" i="2"/>
  <c r="N352" i="2"/>
  <c r="N313" i="2"/>
  <c r="N455" i="2"/>
  <c r="N398" i="2"/>
  <c r="N351" i="2"/>
  <c r="N312" i="2"/>
  <c r="N273" i="2"/>
  <c r="N241" i="2"/>
  <c r="N210" i="2"/>
  <c r="N178" i="2"/>
  <c r="N148" i="2"/>
  <c r="N118" i="2"/>
  <c r="N89" i="2"/>
  <c r="N60" i="2"/>
  <c r="N31" i="2"/>
  <c r="N460" i="2"/>
  <c r="N453" i="2"/>
  <c r="N310" i="2"/>
  <c r="N454" i="2"/>
  <c r="N396" i="2"/>
  <c r="N348" i="2"/>
  <c r="N395" i="2"/>
  <c r="N347" i="2"/>
  <c r="N27" i="2"/>
  <c r="N397" i="2"/>
  <c r="N452" i="2"/>
  <c r="N309" i="2"/>
  <c r="N441" i="2"/>
  <c r="N394" i="2"/>
  <c r="N344" i="2"/>
  <c r="N306" i="2"/>
  <c r="N269" i="2"/>
  <c r="N237" i="2"/>
  <c r="N206" i="2"/>
  <c r="N174" i="2"/>
  <c r="N144" i="2"/>
  <c r="N114" i="2"/>
  <c r="N85" i="2"/>
  <c r="N56" i="2"/>
  <c r="N440" i="2"/>
  <c r="N385" i="2"/>
  <c r="N343" i="2"/>
  <c r="N305" i="2"/>
  <c r="N268" i="2"/>
  <c r="N236" i="2"/>
  <c r="N204" i="2"/>
  <c r="N173" i="2"/>
  <c r="N143" i="2"/>
  <c r="N113" i="2"/>
  <c r="N84" i="2"/>
  <c r="N55" i="2"/>
  <c r="N26" i="2"/>
  <c r="N439" i="2"/>
  <c r="N384" i="2"/>
  <c r="N342" i="2"/>
  <c r="N301" i="2"/>
  <c r="N267" i="2"/>
  <c r="N235" i="2"/>
  <c r="N203" i="2"/>
  <c r="N172" i="2"/>
  <c r="N142" i="2"/>
  <c r="N112" i="2"/>
  <c r="N83" i="2"/>
  <c r="N54" i="2"/>
  <c r="N25" i="2"/>
  <c r="N463" i="2"/>
  <c r="N462" i="2"/>
  <c r="N434" i="2"/>
  <c r="N406" i="2"/>
  <c r="N461" i="2"/>
  <c r="N433" i="2"/>
  <c r="N405" i="2"/>
  <c r="N377" i="2"/>
  <c r="N349" i="2"/>
  <c r="N321" i="2"/>
  <c r="N293" i="2"/>
  <c r="N459" i="2"/>
  <c r="N431" i="2"/>
  <c r="N403" i="2"/>
  <c r="N458" i="2"/>
  <c r="N430" i="2"/>
  <c r="N402" i="2"/>
  <c r="N374" i="2"/>
  <c r="N346" i="2"/>
  <c r="N457" i="2"/>
  <c r="N429" i="2"/>
  <c r="N401" i="2"/>
  <c r="N373" i="2"/>
  <c r="N345" i="2"/>
  <c r="N317" i="2"/>
  <c r="N289" i="2"/>
  <c r="N261" i="2"/>
  <c r="N233" i="2"/>
  <c r="N205" i="2"/>
  <c r="N479" i="2"/>
  <c r="N450" i="2"/>
  <c r="N477" i="2"/>
  <c r="N421" i="2"/>
  <c r="N365" i="2"/>
  <c r="N476" i="2"/>
  <c r="N420" i="2"/>
  <c r="N364" i="2"/>
  <c r="N308" i="2"/>
  <c r="G1" i="2"/>
  <c r="N449" i="2"/>
  <c r="N393" i="2"/>
  <c r="N448" i="2"/>
  <c r="N392" i="2"/>
  <c r="N336" i="2"/>
  <c r="N475" i="2"/>
  <c r="N447" i="2"/>
  <c r="N419" i="2"/>
  <c r="N391" i="2"/>
  <c r="N363" i="2"/>
  <c r="N335" i="2"/>
  <c r="N307" i="2"/>
  <c r="N279" i="2"/>
  <c r="N251" i="2"/>
  <c r="N223" i="2"/>
  <c r="N195" i="2"/>
  <c r="N167" i="2"/>
  <c r="N139" i="2"/>
  <c r="N478" i="2"/>
  <c r="N418" i="2"/>
  <c r="N445" i="2"/>
  <c r="N361" i="2"/>
  <c r="N333" i="2"/>
  <c r="N474" i="2"/>
  <c r="N390" i="2"/>
  <c r="N417" i="2"/>
  <c r="N472" i="2"/>
  <c r="N444" i="2"/>
  <c r="N416" i="2"/>
  <c r="N388" i="2"/>
  <c r="N360" i="2"/>
  <c r="N332" i="2"/>
  <c r="N304" i="2"/>
  <c r="N276" i="2"/>
  <c r="N248" i="2"/>
  <c r="N451" i="2"/>
  <c r="N422" i="2"/>
  <c r="N446" i="2"/>
  <c r="N362" i="2"/>
  <c r="N473" i="2"/>
  <c r="N389" i="2"/>
  <c r="N471" i="2"/>
  <c r="N443" i="2"/>
  <c r="N415" i="2"/>
  <c r="N387" i="2"/>
  <c r="N359" i="2"/>
  <c r="N331" i="2"/>
  <c r="N303" i="2"/>
  <c r="N275" i="2"/>
  <c r="N191" i="2"/>
  <c r="N470" i="2"/>
  <c r="N442" i="2"/>
  <c r="N414" i="2"/>
  <c r="N386" i="2"/>
  <c r="N358" i="2"/>
  <c r="N330" i="2"/>
  <c r="N302" i="2"/>
  <c r="N274" i="2"/>
  <c r="N246" i="2"/>
  <c r="N218" i="2"/>
  <c r="N190" i="2"/>
  <c r="N162" i="2"/>
  <c r="N134" i="2"/>
  <c r="N106" i="2"/>
  <c r="N78" i="2"/>
  <c r="N50" i="2"/>
  <c r="N22" i="2"/>
  <c r="E5" i="2"/>
  <c r="C85" i="1"/>
  <c r="E113" i="1" s="1"/>
  <c r="C19" i="1"/>
  <c r="O5" i="2" l="1"/>
  <c r="H6" i="2"/>
  <c r="R4" i="2"/>
  <c r="P5" i="2"/>
  <c r="R5" i="2" s="1"/>
  <c r="T3" i="2"/>
  <c r="W3" i="2" s="1"/>
  <c r="N1" i="2"/>
  <c r="T481" i="2"/>
  <c r="T480" i="2"/>
  <c r="T402" i="2"/>
  <c r="T401" i="2"/>
  <c r="T400" i="2"/>
  <c r="T398" i="2"/>
  <c r="T397" i="2"/>
  <c r="T396" i="2"/>
  <c r="T395" i="2"/>
  <c r="T341" i="2"/>
  <c r="T340" i="2"/>
  <c r="T339" i="2"/>
  <c r="T338" i="2"/>
  <c r="T320" i="2"/>
  <c r="T319" i="2"/>
  <c r="T318" i="2"/>
  <c r="T317" i="2"/>
  <c r="T316" i="2"/>
  <c r="T315" i="2"/>
  <c r="T314" i="2"/>
  <c r="T262" i="2"/>
  <c r="T261" i="2"/>
  <c r="T260" i="2"/>
  <c r="T180" i="2"/>
  <c r="T179" i="2"/>
  <c r="T178" i="2"/>
  <c r="T177" i="2"/>
  <c r="T176" i="2"/>
  <c r="T175" i="2"/>
  <c r="T174" i="2"/>
  <c r="T173" i="2"/>
  <c r="T121" i="2"/>
  <c r="T120" i="2"/>
  <c r="T119" i="2"/>
  <c r="T118" i="2"/>
  <c r="T117" i="2"/>
  <c r="T116" i="2"/>
  <c r="T115" i="2"/>
  <c r="T114" i="2"/>
  <c r="T96" i="2"/>
  <c r="T37" i="2"/>
  <c r="T36" i="2"/>
  <c r="T35" i="2"/>
  <c r="T34" i="2"/>
  <c r="T33" i="2"/>
  <c r="T32" i="2"/>
  <c r="E6" i="2"/>
  <c r="E114" i="1"/>
  <c r="D114" i="1"/>
  <c r="G61" i="1"/>
  <c r="G62" i="1"/>
  <c r="G63" i="1"/>
  <c r="G64" i="1"/>
  <c r="G60" i="1"/>
  <c r="B48" i="1"/>
  <c r="G15" i="1"/>
  <c r="G19" i="1"/>
  <c r="G23" i="1"/>
  <c r="G4" i="1"/>
  <c r="I3" i="1"/>
  <c r="G3" i="1" s="1"/>
  <c r="O6" i="2" l="1"/>
  <c r="H7" i="2"/>
  <c r="T198" i="2"/>
  <c r="R3" i="2"/>
  <c r="V3" i="2" s="1"/>
  <c r="T199" i="2"/>
  <c r="T200" i="2"/>
  <c r="V5" i="2"/>
  <c r="T235" i="2"/>
  <c r="V4" i="2"/>
  <c r="P6" i="2"/>
  <c r="T38" i="2"/>
  <c r="T403" i="2"/>
  <c r="T39" i="2"/>
  <c r="T254" i="2"/>
  <c r="T404" i="2"/>
  <c r="T256" i="2"/>
  <c r="T236" i="2"/>
  <c r="T40" i="2"/>
  <c r="T255" i="2"/>
  <c r="T422" i="2"/>
  <c r="T58" i="2"/>
  <c r="T423" i="2"/>
  <c r="T59" i="2"/>
  <c r="T257" i="2"/>
  <c r="T461" i="2"/>
  <c r="T94" i="2"/>
  <c r="T258" i="2"/>
  <c r="T478" i="2"/>
  <c r="T95" i="2"/>
  <c r="T259" i="2"/>
  <c r="T479" i="2"/>
  <c r="T122" i="2"/>
  <c r="T342" i="2"/>
  <c r="T61" i="2"/>
  <c r="T425" i="2"/>
  <c r="T203" i="2"/>
  <c r="T426" i="2"/>
  <c r="T204" i="2"/>
  <c r="T346" i="2"/>
  <c r="T143" i="2"/>
  <c r="T347" i="2"/>
  <c r="T65" i="2"/>
  <c r="T430" i="2"/>
  <c r="T145" i="2"/>
  <c r="T366" i="2"/>
  <c r="T67" i="2"/>
  <c r="T287" i="2"/>
  <c r="T68" i="2"/>
  <c r="T368" i="2"/>
  <c r="T86" i="2"/>
  <c r="T289" i="2"/>
  <c r="T8" i="2"/>
  <c r="T291" i="2"/>
  <c r="T60" i="2"/>
  <c r="T424" i="2"/>
  <c r="T123" i="2"/>
  <c r="T344" i="2"/>
  <c r="T62" i="2"/>
  <c r="T345" i="2"/>
  <c r="T63" i="2"/>
  <c r="T283" i="2"/>
  <c r="T428" i="2"/>
  <c r="T205" i="2"/>
  <c r="T429" i="2"/>
  <c r="T144" i="2"/>
  <c r="T285" i="2"/>
  <c r="T4" i="2"/>
  <c r="T207" i="2"/>
  <c r="T431" i="2"/>
  <c r="T146" i="2"/>
  <c r="T450" i="2"/>
  <c r="T6" i="2"/>
  <c r="T147" i="2"/>
  <c r="T226" i="2"/>
  <c r="T7" i="2"/>
  <c r="T227" i="2"/>
  <c r="T452" i="2"/>
  <c r="T149" i="2"/>
  <c r="T228" i="2"/>
  <c r="T453" i="2"/>
  <c r="T9" i="2"/>
  <c r="T88" i="2"/>
  <c r="T150" i="2"/>
  <c r="T372" i="2"/>
  <c r="T454" i="2"/>
  <c r="T10" i="2"/>
  <c r="T89" i="2"/>
  <c r="T151" i="2"/>
  <c r="T230" i="2"/>
  <c r="T292" i="2"/>
  <c r="T373" i="2"/>
  <c r="T456" i="2"/>
  <c r="T11" i="2"/>
  <c r="T90" i="2"/>
  <c r="T152" i="2"/>
  <c r="T231" i="2"/>
  <c r="T310" i="2"/>
  <c r="T374" i="2"/>
  <c r="T457" i="2"/>
  <c r="T12" i="2"/>
  <c r="T91" i="2"/>
  <c r="T170" i="2"/>
  <c r="T232" i="2"/>
  <c r="T311" i="2"/>
  <c r="T375" i="2"/>
  <c r="T458" i="2"/>
  <c r="T263" i="2"/>
  <c r="T264" i="2"/>
  <c r="T282" i="2"/>
  <c r="T142" i="2"/>
  <c r="T64" i="2"/>
  <c r="T284" i="2"/>
  <c r="T206" i="2"/>
  <c r="T66" i="2"/>
  <c r="T5" i="2"/>
  <c r="T367" i="2"/>
  <c r="T288" i="2"/>
  <c r="T369" i="2"/>
  <c r="T290" i="2"/>
  <c r="T92" i="2"/>
  <c r="T459" i="2"/>
  <c r="T201" i="2"/>
  <c r="T202" i="2"/>
  <c r="T124" i="2"/>
  <c r="T348" i="2"/>
  <c r="T286" i="2"/>
  <c r="T208" i="2"/>
  <c r="T451" i="2"/>
  <c r="T148" i="2"/>
  <c r="T87" i="2"/>
  <c r="T370" i="2"/>
  <c r="T229" i="2"/>
  <c r="T30" i="2"/>
  <c r="T171" i="2"/>
  <c r="T233" i="2"/>
  <c r="T312" i="2"/>
  <c r="T376" i="2"/>
  <c r="T31" i="2"/>
  <c r="T93" i="2"/>
  <c r="T172" i="2"/>
  <c r="T234" i="2"/>
  <c r="T313" i="2"/>
  <c r="T394" i="2"/>
  <c r="T460" i="2"/>
  <c r="T482" i="2"/>
  <c r="T42" i="2"/>
  <c r="T98" i="2"/>
  <c r="T182" i="2"/>
  <c r="T266" i="2"/>
  <c r="T322" i="2"/>
  <c r="T350" i="2"/>
  <c r="T462" i="2"/>
  <c r="T43" i="2"/>
  <c r="T99" i="2"/>
  <c r="T155" i="2"/>
  <c r="T211" i="2"/>
  <c r="T295" i="2"/>
  <c r="T323" i="2"/>
  <c r="T379" i="2"/>
  <c r="T463" i="2"/>
  <c r="T44" i="2"/>
  <c r="T128" i="2"/>
  <c r="T156" i="2"/>
  <c r="T184" i="2"/>
  <c r="T268" i="2"/>
  <c r="T296" i="2"/>
  <c r="T324" i="2"/>
  <c r="T464" i="2"/>
  <c r="T17" i="2"/>
  <c r="T73" i="2"/>
  <c r="T129" i="2"/>
  <c r="T157" i="2"/>
  <c r="T241" i="2"/>
  <c r="T325" i="2"/>
  <c r="T353" i="2"/>
  <c r="T381" i="2"/>
  <c r="T465" i="2"/>
  <c r="T18" i="2"/>
  <c r="T74" i="2"/>
  <c r="T158" i="2"/>
  <c r="T242" i="2"/>
  <c r="T270" i="2"/>
  <c r="T298" i="2"/>
  <c r="T326" i="2"/>
  <c r="T466" i="2"/>
  <c r="T47" i="2"/>
  <c r="T103" i="2"/>
  <c r="T187" i="2"/>
  <c r="T271" i="2"/>
  <c r="T299" i="2"/>
  <c r="T327" i="2"/>
  <c r="T467" i="2"/>
  <c r="T20" i="2"/>
  <c r="T160" i="2"/>
  <c r="T216" i="2"/>
  <c r="T328" i="2"/>
  <c r="T468" i="2"/>
  <c r="T21" i="2"/>
  <c r="T77" i="2"/>
  <c r="T105" i="2"/>
  <c r="T245" i="2"/>
  <c r="T273" i="2"/>
  <c r="T301" i="2"/>
  <c r="T329" i="2"/>
  <c r="T469" i="2"/>
  <c r="T78" i="2"/>
  <c r="T162" i="2"/>
  <c r="T274" i="2"/>
  <c r="T330" i="2"/>
  <c r="T470" i="2"/>
  <c r="T23" i="2"/>
  <c r="T107" i="2"/>
  <c r="T163" i="2"/>
  <c r="T247" i="2"/>
  <c r="T303" i="2"/>
  <c r="T331" i="2"/>
  <c r="T471" i="2"/>
  <c r="T80" i="2"/>
  <c r="T164" i="2"/>
  <c r="T332" i="2"/>
  <c r="T81" i="2"/>
  <c r="T221" i="2"/>
  <c r="T277" i="2"/>
  <c r="T305" i="2"/>
  <c r="T333" i="2"/>
  <c r="T361" i="2"/>
  <c r="T389" i="2"/>
  <c r="T417" i="2"/>
  <c r="T445" i="2"/>
  <c r="T473" i="2"/>
  <c r="T432" i="2"/>
  <c r="T97" i="2"/>
  <c r="T209" i="2"/>
  <c r="T321" i="2"/>
  <c r="T433" i="2"/>
  <c r="T126" i="2"/>
  <c r="T294" i="2"/>
  <c r="T406" i="2"/>
  <c r="T71" i="2"/>
  <c r="T239" i="2"/>
  <c r="T435" i="2"/>
  <c r="T100" i="2"/>
  <c r="T240" i="2"/>
  <c r="T408" i="2"/>
  <c r="T101" i="2"/>
  <c r="T269" i="2"/>
  <c r="T409" i="2"/>
  <c r="T186" i="2"/>
  <c r="T438" i="2"/>
  <c r="T159" i="2"/>
  <c r="T383" i="2"/>
  <c r="T48" i="2"/>
  <c r="T188" i="2"/>
  <c r="T384" i="2"/>
  <c r="T189" i="2"/>
  <c r="T385" i="2"/>
  <c r="T106" i="2"/>
  <c r="T246" i="2"/>
  <c r="T386" i="2"/>
  <c r="T51" i="2"/>
  <c r="T219" i="2"/>
  <c r="T387" i="2"/>
  <c r="T108" i="2"/>
  <c r="T248" i="2"/>
  <c r="T444" i="2"/>
  <c r="T109" i="2"/>
  <c r="T249" i="2"/>
  <c r="T26" i="2"/>
  <c r="T54" i="2"/>
  <c r="T82" i="2"/>
  <c r="T110" i="2"/>
  <c r="T138" i="2"/>
  <c r="T166" i="2"/>
  <c r="T194" i="2"/>
  <c r="T222" i="2"/>
  <c r="T250" i="2"/>
  <c r="T278" i="2"/>
  <c r="T306" i="2"/>
  <c r="T334" i="2"/>
  <c r="T362" i="2"/>
  <c r="T390" i="2"/>
  <c r="T418" i="2"/>
  <c r="T446" i="2"/>
  <c r="T474" i="2"/>
  <c r="T69" i="2"/>
  <c r="T181" i="2"/>
  <c r="T293" i="2"/>
  <c r="T377" i="2"/>
  <c r="T154" i="2"/>
  <c r="T378" i="2"/>
  <c r="T183" i="2"/>
  <c r="T16" i="2"/>
  <c r="T352" i="2"/>
  <c r="T297" i="2"/>
  <c r="T102" i="2"/>
  <c r="T382" i="2"/>
  <c r="T75" i="2"/>
  <c r="T243" i="2"/>
  <c r="T411" i="2"/>
  <c r="T132" i="2"/>
  <c r="T300" i="2"/>
  <c r="T412" i="2"/>
  <c r="T161" i="2"/>
  <c r="T413" i="2"/>
  <c r="T50" i="2"/>
  <c r="T218" i="2"/>
  <c r="T358" i="2"/>
  <c r="T79" i="2"/>
  <c r="T275" i="2"/>
  <c r="T443" i="2"/>
  <c r="T136" i="2"/>
  <c r="T276" i="2"/>
  <c r="T472" i="2"/>
  <c r="T137" i="2"/>
  <c r="T83" i="2"/>
  <c r="T139" i="2"/>
  <c r="T195" i="2"/>
  <c r="T251" i="2"/>
  <c r="T279" i="2"/>
  <c r="T335" i="2"/>
  <c r="T363" i="2"/>
  <c r="T391" i="2"/>
  <c r="T419" i="2"/>
  <c r="T447" i="2"/>
  <c r="T475" i="2"/>
  <c r="T13" i="2"/>
  <c r="T125" i="2"/>
  <c r="T237" i="2"/>
  <c r="T405" i="2"/>
  <c r="T70" i="2"/>
  <c r="T238" i="2"/>
  <c r="T15" i="2"/>
  <c r="T351" i="2"/>
  <c r="T380" i="2"/>
  <c r="T213" i="2"/>
  <c r="T130" i="2"/>
  <c r="T410" i="2"/>
  <c r="T131" i="2"/>
  <c r="T439" i="2"/>
  <c r="T104" i="2"/>
  <c r="T244" i="2"/>
  <c r="T356" i="2"/>
  <c r="T49" i="2"/>
  <c r="T217" i="2"/>
  <c r="T357" i="2"/>
  <c r="T22" i="2"/>
  <c r="T190" i="2"/>
  <c r="T442" i="2"/>
  <c r="T191" i="2"/>
  <c r="T359" i="2"/>
  <c r="T24" i="2"/>
  <c r="T220" i="2"/>
  <c r="T360" i="2"/>
  <c r="T416" i="2"/>
  <c r="T53" i="2"/>
  <c r="T193" i="2"/>
  <c r="T55" i="2"/>
  <c r="T111" i="2"/>
  <c r="T167" i="2"/>
  <c r="T223" i="2"/>
  <c r="T307" i="2"/>
  <c r="T28" i="2"/>
  <c r="T56" i="2"/>
  <c r="T84" i="2"/>
  <c r="T112" i="2"/>
  <c r="T140" i="2"/>
  <c r="T168" i="2"/>
  <c r="T196" i="2"/>
  <c r="T224" i="2"/>
  <c r="T252" i="2"/>
  <c r="T280" i="2"/>
  <c r="T308" i="2"/>
  <c r="T336" i="2"/>
  <c r="T364" i="2"/>
  <c r="T392" i="2"/>
  <c r="T420" i="2"/>
  <c r="T448" i="2"/>
  <c r="T476" i="2"/>
  <c r="T41" i="2"/>
  <c r="T153" i="2"/>
  <c r="T265" i="2"/>
  <c r="T349" i="2"/>
  <c r="T14" i="2"/>
  <c r="T210" i="2"/>
  <c r="T434" i="2"/>
  <c r="T127" i="2"/>
  <c r="T267" i="2"/>
  <c r="T407" i="2"/>
  <c r="T72" i="2"/>
  <c r="T212" i="2"/>
  <c r="T436" i="2"/>
  <c r="T45" i="2"/>
  <c r="T185" i="2"/>
  <c r="T437" i="2"/>
  <c r="T46" i="2"/>
  <c r="T214" i="2"/>
  <c r="T354" i="2"/>
  <c r="T19" i="2"/>
  <c r="T215" i="2"/>
  <c r="T355" i="2"/>
  <c r="T76" i="2"/>
  <c r="T272" i="2"/>
  <c r="T440" i="2"/>
  <c r="T133" i="2"/>
  <c r="T441" i="2"/>
  <c r="T134" i="2"/>
  <c r="T302" i="2"/>
  <c r="T414" i="2"/>
  <c r="T135" i="2"/>
  <c r="T415" i="2"/>
  <c r="T52" i="2"/>
  <c r="T192" i="2"/>
  <c r="T304" i="2"/>
  <c r="T388" i="2"/>
  <c r="T25" i="2"/>
  <c r="T165" i="2"/>
  <c r="T27" i="2"/>
  <c r="T29" i="2"/>
  <c r="T57" i="2"/>
  <c r="T85" i="2"/>
  <c r="T113" i="2"/>
  <c r="T141" i="2"/>
  <c r="T169" i="2"/>
  <c r="T197" i="2"/>
  <c r="T225" i="2"/>
  <c r="T253" i="2"/>
  <c r="T281" i="2"/>
  <c r="T309" i="2"/>
  <c r="T337" i="2"/>
  <c r="T365" i="2"/>
  <c r="T393" i="2"/>
  <c r="T421" i="2"/>
  <c r="T449" i="2"/>
  <c r="T477" i="2"/>
  <c r="T343" i="2"/>
  <c r="T371" i="2"/>
  <c r="T399" i="2"/>
  <c r="T427" i="2"/>
  <c r="T455" i="2"/>
  <c r="E7" i="2"/>
  <c r="D44" i="1"/>
  <c r="C83" i="1"/>
  <c r="Y3" i="2" l="1"/>
  <c r="AC3" i="2"/>
  <c r="R6" i="2"/>
  <c r="V6" i="2" s="1"/>
  <c r="O7" i="2"/>
  <c r="H8" i="2"/>
  <c r="P7" i="2"/>
  <c r="C86" i="1"/>
  <c r="C87" i="1"/>
  <c r="E8" i="2"/>
  <c r="B93" i="1" a="1"/>
  <c r="B92" i="1" a="1"/>
  <c r="C97" i="1" s="1"/>
  <c r="AA3" i="2" l="1"/>
  <c r="Z3" i="2"/>
  <c r="AE3" i="2" s="1"/>
  <c r="AB3" i="2"/>
  <c r="X4" i="2" s="1"/>
  <c r="S4" i="2" s="1"/>
  <c r="W4" i="2" s="1"/>
  <c r="R7" i="2"/>
  <c r="V7" i="2" s="1"/>
  <c r="H9" i="2"/>
  <c r="O8" i="2"/>
  <c r="P8" i="2"/>
  <c r="C99" i="1"/>
  <c r="E111" i="1" s="1"/>
  <c r="C95" i="1"/>
  <c r="E9" i="2"/>
  <c r="B93" i="1"/>
  <c r="B92" i="1"/>
  <c r="Y4" i="2" l="1"/>
  <c r="AC4" i="2"/>
  <c r="R8" i="2"/>
  <c r="V8" i="2" s="1"/>
  <c r="O9" i="2"/>
  <c r="H10" i="2"/>
  <c r="P9" i="2"/>
  <c r="C100" i="1"/>
  <c r="E112" i="1" s="1"/>
  <c r="E10" i="2"/>
  <c r="D111" i="1"/>
  <c r="AA4" i="2" l="1"/>
  <c r="AB4" i="2"/>
  <c r="X5" i="2" s="1"/>
  <c r="R9" i="2"/>
  <c r="V9" i="2" s="1"/>
  <c r="O10" i="2"/>
  <c r="H11" i="2"/>
  <c r="P10" i="2"/>
  <c r="E11" i="2"/>
  <c r="R10" i="2" l="1"/>
  <c r="V10" i="2" s="1"/>
  <c r="O11" i="2"/>
  <c r="H12" i="2"/>
  <c r="P11" i="2"/>
  <c r="E12" i="2"/>
  <c r="R11" i="2" l="1"/>
  <c r="V11" i="2" s="1"/>
  <c r="O12" i="2"/>
  <c r="H13" i="2"/>
  <c r="P12" i="2"/>
  <c r="E13" i="2"/>
  <c r="R12" i="2" l="1"/>
  <c r="V12" i="2" s="1"/>
  <c r="O13" i="2"/>
  <c r="H14" i="2"/>
  <c r="P13" i="2"/>
  <c r="E14" i="2"/>
  <c r="R13" i="2" l="1"/>
  <c r="V13" i="2" s="1"/>
  <c r="O14" i="2"/>
  <c r="H15" i="2"/>
  <c r="P14" i="2"/>
  <c r="E15" i="2"/>
  <c r="R14" i="2" l="1"/>
  <c r="V14" i="2" s="1"/>
  <c r="O15" i="2"/>
  <c r="H16" i="2"/>
  <c r="P15" i="2"/>
  <c r="E16" i="2"/>
  <c r="O16" i="2" l="1"/>
  <c r="H17" i="2"/>
  <c r="R15" i="2"/>
  <c r="V15" i="2" s="1"/>
  <c r="P16" i="2"/>
  <c r="E17" i="2"/>
  <c r="R16" i="2" l="1"/>
  <c r="V16" i="2" s="1"/>
  <c r="O17" i="2"/>
  <c r="H18" i="2"/>
  <c r="P17" i="2"/>
  <c r="E18" i="2"/>
  <c r="R17" i="2" l="1"/>
  <c r="V17" i="2" s="1"/>
  <c r="O18" i="2"/>
  <c r="H19" i="2"/>
  <c r="P18" i="2"/>
  <c r="E19" i="2"/>
  <c r="R18" i="2" l="1"/>
  <c r="V18" i="2" s="1"/>
  <c r="O19" i="2"/>
  <c r="H20" i="2"/>
  <c r="P19" i="2"/>
  <c r="E20" i="2"/>
  <c r="O20" i="2" l="1"/>
  <c r="H21" i="2"/>
  <c r="R19" i="2"/>
  <c r="V19" i="2" s="1"/>
  <c r="P20" i="2"/>
  <c r="E21" i="2"/>
  <c r="R20" i="2" l="1"/>
  <c r="O21" i="2"/>
  <c r="H22" i="2"/>
  <c r="P21" i="2"/>
  <c r="E22" i="2"/>
  <c r="R21" i="2" l="1"/>
  <c r="V21" i="2" s="1"/>
  <c r="O22" i="2"/>
  <c r="H23" i="2"/>
  <c r="V20" i="2"/>
  <c r="P22" i="2"/>
  <c r="E23" i="2"/>
  <c r="R22" i="2" l="1"/>
  <c r="O23" i="2"/>
  <c r="H24" i="2"/>
  <c r="P23" i="2"/>
  <c r="E24" i="2"/>
  <c r="R23" i="2" l="1"/>
  <c r="V23" i="2" s="1"/>
  <c r="O24" i="2"/>
  <c r="H25" i="2"/>
  <c r="V22" i="2"/>
  <c r="P24" i="2"/>
  <c r="E25" i="2"/>
  <c r="R24" i="2" l="1"/>
  <c r="O25" i="2"/>
  <c r="H26" i="2"/>
  <c r="P25" i="2"/>
  <c r="E26" i="2"/>
  <c r="R25" i="2" l="1"/>
  <c r="V25" i="2" s="1"/>
  <c r="O26" i="2"/>
  <c r="H27" i="2"/>
  <c r="V24" i="2"/>
  <c r="P26" i="2"/>
  <c r="E27" i="2"/>
  <c r="R26" i="2" l="1"/>
  <c r="V26" i="2" s="1"/>
  <c r="O27" i="2"/>
  <c r="H28" i="2"/>
  <c r="P27" i="2"/>
  <c r="E28" i="2"/>
  <c r="R27" i="2" l="1"/>
  <c r="V27" i="2" s="1"/>
  <c r="O28" i="2"/>
  <c r="H29" i="2"/>
  <c r="P28" i="2"/>
  <c r="E29" i="2"/>
  <c r="R28" i="2" l="1"/>
  <c r="V28" i="2" s="1"/>
  <c r="O29" i="2"/>
  <c r="H30" i="2"/>
  <c r="P29" i="2"/>
  <c r="E30" i="2"/>
  <c r="R29" i="2" l="1"/>
  <c r="V29" i="2" s="1"/>
  <c r="O30" i="2"/>
  <c r="H31" i="2"/>
  <c r="P30" i="2"/>
  <c r="E31" i="2"/>
  <c r="R30" i="2" l="1"/>
  <c r="V30" i="2" s="1"/>
  <c r="O31" i="2"/>
  <c r="H32" i="2"/>
  <c r="P31" i="2"/>
  <c r="E32" i="2"/>
  <c r="R31" i="2" l="1"/>
  <c r="V31" i="2" s="1"/>
  <c r="O32" i="2"/>
  <c r="H33" i="2"/>
  <c r="P32" i="2"/>
  <c r="E33" i="2"/>
  <c r="R32" i="2" l="1"/>
  <c r="V32" i="2" s="1"/>
  <c r="O33" i="2"/>
  <c r="H34" i="2"/>
  <c r="P33" i="2"/>
  <c r="E34" i="2"/>
  <c r="R33" i="2" l="1"/>
  <c r="V33" i="2" s="1"/>
  <c r="O34" i="2"/>
  <c r="H35" i="2"/>
  <c r="P34" i="2"/>
  <c r="E35" i="2"/>
  <c r="R34" i="2" l="1"/>
  <c r="V34" i="2" s="1"/>
  <c r="O35" i="2"/>
  <c r="H36" i="2"/>
  <c r="P35" i="2"/>
  <c r="E36" i="2"/>
  <c r="R35" i="2" l="1"/>
  <c r="V35" i="2" s="1"/>
  <c r="O36" i="2"/>
  <c r="H37" i="2"/>
  <c r="P36" i="2"/>
  <c r="E37" i="2"/>
  <c r="R36" i="2" l="1"/>
  <c r="V36" i="2" s="1"/>
  <c r="O37" i="2"/>
  <c r="H38" i="2"/>
  <c r="P37" i="2"/>
  <c r="E38" i="2"/>
  <c r="R37" i="2" l="1"/>
  <c r="V37" i="2" s="1"/>
  <c r="O38" i="2"/>
  <c r="H39" i="2"/>
  <c r="P38" i="2"/>
  <c r="E39" i="2"/>
  <c r="R38" i="2" l="1"/>
  <c r="V38" i="2" s="1"/>
  <c r="O39" i="2"/>
  <c r="H40" i="2"/>
  <c r="P39" i="2"/>
  <c r="E40" i="2"/>
  <c r="R39" i="2" l="1"/>
  <c r="V39" i="2" s="1"/>
  <c r="O40" i="2"/>
  <c r="H41" i="2"/>
  <c r="P40" i="2"/>
  <c r="E41" i="2"/>
  <c r="R40" i="2" l="1"/>
  <c r="V40" i="2" s="1"/>
  <c r="O41" i="2"/>
  <c r="H42" i="2"/>
  <c r="P41" i="2"/>
  <c r="E42" i="2"/>
  <c r="R41" i="2" l="1"/>
  <c r="V41" i="2" s="1"/>
  <c r="O42" i="2"/>
  <c r="H43" i="2"/>
  <c r="P42" i="2"/>
  <c r="E43" i="2"/>
  <c r="R42" i="2" l="1"/>
  <c r="V42" i="2" s="1"/>
  <c r="O43" i="2"/>
  <c r="H44" i="2"/>
  <c r="P43" i="2"/>
  <c r="E44" i="2"/>
  <c r="R43" i="2" l="1"/>
  <c r="V43" i="2" s="1"/>
  <c r="O44" i="2"/>
  <c r="H45" i="2"/>
  <c r="P44" i="2"/>
  <c r="E45" i="2"/>
  <c r="R44" i="2" l="1"/>
  <c r="V44" i="2" s="1"/>
  <c r="O45" i="2"/>
  <c r="H46" i="2"/>
  <c r="P45" i="2"/>
  <c r="E46" i="2"/>
  <c r="R45" i="2" l="1"/>
  <c r="V45" i="2" s="1"/>
  <c r="O46" i="2"/>
  <c r="H47" i="2"/>
  <c r="P46" i="2"/>
  <c r="E47" i="2"/>
  <c r="R46" i="2" l="1"/>
  <c r="V46" i="2" s="1"/>
  <c r="O47" i="2"/>
  <c r="H48" i="2"/>
  <c r="P47" i="2"/>
  <c r="E48" i="2"/>
  <c r="O48" i="2" l="1"/>
  <c r="H49" i="2"/>
  <c r="R47" i="2"/>
  <c r="V47" i="2" s="1"/>
  <c r="P48" i="2"/>
  <c r="E49" i="2"/>
  <c r="R48" i="2" l="1"/>
  <c r="V48" i="2" s="1"/>
  <c r="O49" i="2"/>
  <c r="H50" i="2"/>
  <c r="P49" i="2"/>
  <c r="E50" i="2"/>
  <c r="R49" i="2" l="1"/>
  <c r="V49" i="2" s="1"/>
  <c r="O50" i="2"/>
  <c r="H51" i="2"/>
  <c r="P50" i="2"/>
  <c r="E51" i="2"/>
  <c r="R50" i="2" l="1"/>
  <c r="V50" i="2" s="1"/>
  <c r="O51" i="2"/>
  <c r="H52" i="2"/>
  <c r="P51" i="2"/>
  <c r="E52" i="2"/>
  <c r="R51" i="2" l="1"/>
  <c r="V51" i="2" s="1"/>
  <c r="O52" i="2"/>
  <c r="H53" i="2"/>
  <c r="P52" i="2"/>
  <c r="E53" i="2"/>
  <c r="R52" i="2" l="1"/>
  <c r="V52" i="2" s="1"/>
  <c r="O53" i="2"/>
  <c r="H54" i="2"/>
  <c r="P53" i="2"/>
  <c r="E54" i="2"/>
  <c r="R53" i="2" l="1"/>
  <c r="V53" i="2" s="1"/>
  <c r="O54" i="2"/>
  <c r="H55" i="2"/>
  <c r="P54" i="2"/>
  <c r="E55" i="2"/>
  <c r="R54" i="2" l="1"/>
  <c r="V54" i="2" s="1"/>
  <c r="O55" i="2"/>
  <c r="H56" i="2"/>
  <c r="P55" i="2"/>
  <c r="E56" i="2"/>
  <c r="R55" i="2" l="1"/>
  <c r="V55" i="2" s="1"/>
  <c r="O56" i="2"/>
  <c r="H57" i="2"/>
  <c r="P56" i="2"/>
  <c r="E57" i="2"/>
  <c r="R56" i="2" l="1"/>
  <c r="V56" i="2" s="1"/>
  <c r="O57" i="2"/>
  <c r="H58" i="2"/>
  <c r="P57" i="2"/>
  <c r="E58" i="2"/>
  <c r="R57" i="2" l="1"/>
  <c r="V57" i="2" s="1"/>
  <c r="O58" i="2"/>
  <c r="H59" i="2"/>
  <c r="P58" i="2"/>
  <c r="E59" i="2"/>
  <c r="R58" i="2" l="1"/>
  <c r="V58" i="2" s="1"/>
  <c r="O59" i="2"/>
  <c r="H60" i="2"/>
  <c r="P59" i="2"/>
  <c r="E60" i="2"/>
  <c r="O60" i="2" l="1"/>
  <c r="H61" i="2"/>
  <c r="R59" i="2"/>
  <c r="V59" i="2" s="1"/>
  <c r="P60" i="2"/>
  <c r="E61" i="2"/>
  <c r="O61" i="2" l="1"/>
  <c r="H62" i="2"/>
  <c r="R60" i="2"/>
  <c r="V60" i="2" s="1"/>
  <c r="P61" i="2"/>
  <c r="E62" i="2"/>
  <c r="R61" i="2" l="1"/>
  <c r="V61" i="2" s="1"/>
  <c r="O62" i="2"/>
  <c r="H63" i="2"/>
  <c r="P62" i="2"/>
  <c r="E63" i="2"/>
  <c r="R62" i="2" l="1"/>
  <c r="V62" i="2" s="1"/>
  <c r="O63" i="2"/>
  <c r="H64" i="2"/>
  <c r="P63" i="2"/>
  <c r="E64" i="2"/>
  <c r="R63" i="2" l="1"/>
  <c r="V63" i="2" s="1"/>
  <c r="O64" i="2"/>
  <c r="H65" i="2"/>
  <c r="P64" i="2"/>
  <c r="E65" i="2"/>
  <c r="R64" i="2" l="1"/>
  <c r="V64" i="2" s="1"/>
  <c r="O65" i="2"/>
  <c r="H66" i="2"/>
  <c r="P65" i="2"/>
  <c r="E66" i="2"/>
  <c r="R65" i="2" l="1"/>
  <c r="V65" i="2" s="1"/>
  <c r="O66" i="2"/>
  <c r="H67" i="2"/>
  <c r="P66" i="2"/>
  <c r="E67" i="2"/>
  <c r="R66" i="2" l="1"/>
  <c r="V66" i="2" s="1"/>
  <c r="O67" i="2"/>
  <c r="H68" i="2"/>
  <c r="P67" i="2"/>
  <c r="E68" i="2"/>
  <c r="R67" i="2" l="1"/>
  <c r="V67" i="2" s="1"/>
  <c r="O68" i="2"/>
  <c r="H69" i="2"/>
  <c r="P68" i="2"/>
  <c r="E69" i="2"/>
  <c r="R68" i="2" l="1"/>
  <c r="V68" i="2" s="1"/>
  <c r="O69" i="2"/>
  <c r="H70" i="2"/>
  <c r="P69" i="2"/>
  <c r="E70" i="2"/>
  <c r="R69" i="2" l="1"/>
  <c r="V69" i="2" s="1"/>
  <c r="O70" i="2"/>
  <c r="H71" i="2"/>
  <c r="P70" i="2"/>
  <c r="E71" i="2"/>
  <c r="R70" i="2" l="1"/>
  <c r="V70" i="2" s="1"/>
  <c r="O71" i="2"/>
  <c r="H72" i="2"/>
  <c r="P71" i="2"/>
  <c r="E72" i="2"/>
  <c r="R71" i="2" l="1"/>
  <c r="V71" i="2" s="1"/>
  <c r="O72" i="2"/>
  <c r="H73" i="2"/>
  <c r="P72" i="2"/>
  <c r="E73" i="2"/>
  <c r="R72" i="2" l="1"/>
  <c r="V72" i="2" s="1"/>
  <c r="O73" i="2"/>
  <c r="H74" i="2"/>
  <c r="P73" i="2"/>
  <c r="E74" i="2"/>
  <c r="R73" i="2" l="1"/>
  <c r="V73" i="2" s="1"/>
  <c r="O74" i="2"/>
  <c r="H75" i="2"/>
  <c r="P74" i="2"/>
  <c r="E75" i="2"/>
  <c r="R74" i="2" l="1"/>
  <c r="V74" i="2" s="1"/>
  <c r="O75" i="2"/>
  <c r="H76" i="2"/>
  <c r="P75" i="2"/>
  <c r="E76" i="2"/>
  <c r="R75" i="2" l="1"/>
  <c r="V75" i="2" s="1"/>
  <c r="O76" i="2"/>
  <c r="H77" i="2"/>
  <c r="P76" i="2"/>
  <c r="E77" i="2"/>
  <c r="R76" i="2" l="1"/>
  <c r="V76" i="2" s="1"/>
  <c r="O77" i="2"/>
  <c r="H78" i="2"/>
  <c r="P77" i="2"/>
  <c r="E78" i="2"/>
  <c r="R77" i="2" l="1"/>
  <c r="V77" i="2" s="1"/>
  <c r="O78" i="2"/>
  <c r="H79" i="2"/>
  <c r="P78" i="2"/>
  <c r="E79" i="2"/>
  <c r="R78" i="2" l="1"/>
  <c r="V78" i="2" s="1"/>
  <c r="O79" i="2"/>
  <c r="H80" i="2"/>
  <c r="P79" i="2"/>
  <c r="E80" i="2"/>
  <c r="R79" i="2" l="1"/>
  <c r="V79" i="2" s="1"/>
  <c r="O80" i="2"/>
  <c r="H81" i="2"/>
  <c r="P80" i="2"/>
  <c r="E81" i="2"/>
  <c r="R80" i="2" l="1"/>
  <c r="V80" i="2" s="1"/>
  <c r="O81" i="2"/>
  <c r="H82" i="2"/>
  <c r="P81" i="2"/>
  <c r="E82" i="2"/>
  <c r="R81" i="2" l="1"/>
  <c r="V81" i="2" s="1"/>
  <c r="O82" i="2"/>
  <c r="H83" i="2"/>
  <c r="P82" i="2"/>
  <c r="E83" i="2"/>
  <c r="O83" i="2" l="1"/>
  <c r="H84" i="2"/>
  <c r="R82" i="2"/>
  <c r="V82" i="2" s="1"/>
  <c r="P83" i="2"/>
  <c r="E84" i="2"/>
  <c r="R83" i="2" l="1"/>
  <c r="V83" i="2" s="1"/>
  <c r="O84" i="2"/>
  <c r="H85" i="2"/>
  <c r="P84" i="2"/>
  <c r="E85" i="2"/>
  <c r="R84" i="2" l="1"/>
  <c r="V84" i="2" s="1"/>
  <c r="O85" i="2"/>
  <c r="H86" i="2"/>
  <c r="P85" i="2"/>
  <c r="E86" i="2"/>
  <c r="R85" i="2" l="1"/>
  <c r="V85" i="2" s="1"/>
  <c r="O86" i="2"/>
  <c r="H87" i="2"/>
  <c r="P86" i="2"/>
  <c r="E87" i="2"/>
  <c r="O87" i="2" l="1"/>
  <c r="H88" i="2"/>
  <c r="R86" i="2"/>
  <c r="V86" i="2" s="1"/>
  <c r="P87" i="2"/>
  <c r="E88" i="2"/>
  <c r="O88" i="2" l="1"/>
  <c r="H89" i="2"/>
  <c r="R87" i="2"/>
  <c r="V87" i="2" s="1"/>
  <c r="P88" i="2"/>
  <c r="E89" i="2"/>
  <c r="R88" i="2" l="1"/>
  <c r="V88" i="2" s="1"/>
  <c r="O89" i="2"/>
  <c r="H90" i="2"/>
  <c r="P89" i="2"/>
  <c r="E90" i="2"/>
  <c r="R89" i="2" l="1"/>
  <c r="V89" i="2" s="1"/>
  <c r="O90" i="2"/>
  <c r="H91" i="2"/>
  <c r="P90" i="2"/>
  <c r="E91" i="2"/>
  <c r="R90" i="2" l="1"/>
  <c r="V90" i="2" s="1"/>
  <c r="O91" i="2"/>
  <c r="H92" i="2"/>
  <c r="P91" i="2"/>
  <c r="E92" i="2"/>
  <c r="R91" i="2" l="1"/>
  <c r="V91" i="2" s="1"/>
  <c r="O92" i="2"/>
  <c r="H93" i="2"/>
  <c r="P92" i="2"/>
  <c r="E93" i="2"/>
  <c r="R92" i="2" l="1"/>
  <c r="V92" i="2" s="1"/>
  <c r="O93" i="2"/>
  <c r="H94" i="2"/>
  <c r="P93" i="2"/>
  <c r="E94" i="2"/>
  <c r="R93" i="2" l="1"/>
  <c r="V93" i="2" s="1"/>
  <c r="O94" i="2"/>
  <c r="H95" i="2"/>
  <c r="P94" i="2"/>
  <c r="E95" i="2"/>
  <c r="R94" i="2" l="1"/>
  <c r="V94" i="2" s="1"/>
  <c r="O95" i="2"/>
  <c r="H96" i="2"/>
  <c r="P95" i="2"/>
  <c r="E96" i="2"/>
  <c r="R95" i="2" l="1"/>
  <c r="V95" i="2" s="1"/>
  <c r="O96" i="2"/>
  <c r="H97" i="2"/>
  <c r="P96" i="2"/>
  <c r="E97" i="2"/>
  <c r="R96" i="2" l="1"/>
  <c r="V96" i="2" s="1"/>
  <c r="O97" i="2"/>
  <c r="H98" i="2"/>
  <c r="P97" i="2"/>
  <c r="E98" i="2"/>
  <c r="O98" i="2" l="1"/>
  <c r="H99" i="2"/>
  <c r="R97" i="2"/>
  <c r="V97" i="2" s="1"/>
  <c r="P98" i="2"/>
  <c r="E99" i="2"/>
  <c r="R98" i="2" l="1"/>
  <c r="V98" i="2" s="1"/>
  <c r="O99" i="2"/>
  <c r="H100" i="2"/>
  <c r="P99" i="2"/>
  <c r="E100" i="2"/>
  <c r="R99" i="2" l="1"/>
  <c r="V99" i="2" s="1"/>
  <c r="O100" i="2"/>
  <c r="H101" i="2"/>
  <c r="P100" i="2"/>
  <c r="E101" i="2"/>
  <c r="R100" i="2" l="1"/>
  <c r="V100" i="2" s="1"/>
  <c r="O101" i="2"/>
  <c r="H102" i="2"/>
  <c r="P101" i="2"/>
  <c r="E102" i="2"/>
  <c r="R101" i="2" l="1"/>
  <c r="V101" i="2" s="1"/>
  <c r="O102" i="2"/>
  <c r="H103" i="2"/>
  <c r="P102" i="2"/>
  <c r="E103" i="2"/>
  <c r="R102" i="2" l="1"/>
  <c r="V102" i="2" s="1"/>
  <c r="O103" i="2"/>
  <c r="H104" i="2"/>
  <c r="P103" i="2"/>
  <c r="E104" i="2"/>
  <c r="R103" i="2" l="1"/>
  <c r="V103" i="2" s="1"/>
  <c r="O104" i="2"/>
  <c r="H105" i="2"/>
  <c r="P104" i="2"/>
  <c r="E105" i="2"/>
  <c r="R104" i="2" l="1"/>
  <c r="V104" i="2" s="1"/>
  <c r="O105" i="2"/>
  <c r="H106" i="2"/>
  <c r="P105" i="2"/>
  <c r="E106" i="2"/>
  <c r="R105" i="2" l="1"/>
  <c r="V105" i="2" s="1"/>
  <c r="O106" i="2"/>
  <c r="H107" i="2"/>
  <c r="P106" i="2"/>
  <c r="E107" i="2"/>
  <c r="O107" i="2" l="1"/>
  <c r="H108" i="2"/>
  <c r="R106" i="2"/>
  <c r="V106" i="2" s="1"/>
  <c r="P107" i="2"/>
  <c r="E108" i="2"/>
  <c r="R107" i="2" l="1"/>
  <c r="V107" i="2" s="1"/>
  <c r="O108" i="2"/>
  <c r="H109" i="2"/>
  <c r="P108" i="2"/>
  <c r="E109" i="2"/>
  <c r="R108" i="2" l="1"/>
  <c r="V108" i="2" s="1"/>
  <c r="O109" i="2"/>
  <c r="H110" i="2"/>
  <c r="P109" i="2"/>
  <c r="E110" i="2"/>
  <c r="O110" i="2" l="1"/>
  <c r="H111" i="2"/>
  <c r="R109" i="2"/>
  <c r="V109" i="2" s="1"/>
  <c r="P110" i="2"/>
  <c r="E111" i="2"/>
  <c r="O111" i="2" l="1"/>
  <c r="H112" i="2"/>
  <c r="R110" i="2"/>
  <c r="V110" i="2" s="1"/>
  <c r="P111" i="2"/>
  <c r="E112" i="2"/>
  <c r="R111" i="2" l="1"/>
  <c r="V111" i="2" s="1"/>
  <c r="O112" i="2"/>
  <c r="H113" i="2"/>
  <c r="T1" i="2"/>
  <c r="P112" i="2"/>
  <c r="E113" i="2"/>
  <c r="R112" i="2" l="1"/>
  <c r="V112" i="2" s="1"/>
  <c r="O113" i="2"/>
  <c r="H114" i="2"/>
  <c r="P113" i="2"/>
  <c r="E114" i="2"/>
  <c r="O114" i="2" l="1"/>
  <c r="H115" i="2"/>
  <c r="R113" i="2"/>
  <c r="V113" i="2" s="1"/>
  <c r="P114" i="2"/>
  <c r="E115" i="2"/>
  <c r="O115" i="2" l="1"/>
  <c r="H116" i="2"/>
  <c r="R114" i="2"/>
  <c r="V114" i="2" s="1"/>
  <c r="P115" i="2"/>
  <c r="E116" i="2"/>
  <c r="R115" i="2" l="1"/>
  <c r="V115" i="2" s="1"/>
  <c r="O116" i="2"/>
  <c r="H117" i="2"/>
  <c r="P116" i="2"/>
  <c r="E117" i="2"/>
  <c r="O117" i="2" l="1"/>
  <c r="H118" i="2"/>
  <c r="R116" i="2"/>
  <c r="V116" i="2" s="1"/>
  <c r="P117" i="2"/>
  <c r="E118" i="2"/>
  <c r="O118" i="2" l="1"/>
  <c r="H119" i="2"/>
  <c r="R117" i="2"/>
  <c r="V117" i="2" s="1"/>
  <c r="P118" i="2"/>
  <c r="E119" i="2"/>
  <c r="R118" i="2" l="1"/>
  <c r="V118" i="2" s="1"/>
  <c r="O119" i="2"/>
  <c r="H120" i="2"/>
  <c r="P119" i="2"/>
  <c r="E120" i="2"/>
  <c r="O120" i="2" l="1"/>
  <c r="H121" i="2"/>
  <c r="R119" i="2"/>
  <c r="V119" i="2" s="1"/>
  <c r="P120" i="2"/>
  <c r="E121" i="2"/>
  <c r="R120" i="2" l="1"/>
  <c r="V120" i="2" s="1"/>
  <c r="O121" i="2"/>
  <c r="H122" i="2"/>
  <c r="P121" i="2"/>
  <c r="E122" i="2"/>
  <c r="O122" i="2" l="1"/>
  <c r="H123" i="2"/>
  <c r="R121" i="2"/>
  <c r="V121" i="2" s="1"/>
  <c r="P122" i="2"/>
  <c r="E123" i="2"/>
  <c r="O123" i="2" l="1"/>
  <c r="H124" i="2"/>
  <c r="R122" i="2"/>
  <c r="V122" i="2" s="1"/>
  <c r="P123" i="2"/>
  <c r="E124" i="2"/>
  <c r="R123" i="2" l="1"/>
  <c r="V123" i="2" s="1"/>
  <c r="O124" i="2"/>
  <c r="H125" i="2"/>
  <c r="P124" i="2"/>
  <c r="E125" i="2"/>
  <c r="R124" i="2" l="1"/>
  <c r="V124" i="2" s="1"/>
  <c r="O125" i="2"/>
  <c r="H126" i="2"/>
  <c r="P125" i="2"/>
  <c r="E126" i="2"/>
  <c r="O126" i="2" l="1"/>
  <c r="H127" i="2"/>
  <c r="R125" i="2"/>
  <c r="V125" i="2" s="1"/>
  <c r="P126" i="2"/>
  <c r="E127" i="2"/>
  <c r="R126" i="2" l="1"/>
  <c r="V126" i="2" s="1"/>
  <c r="O127" i="2"/>
  <c r="H128" i="2"/>
  <c r="P127" i="2"/>
  <c r="E128" i="2"/>
  <c r="R127" i="2" l="1"/>
  <c r="V127" i="2" s="1"/>
  <c r="O128" i="2"/>
  <c r="H129" i="2"/>
  <c r="P128" i="2"/>
  <c r="E129" i="2"/>
  <c r="R128" i="2" l="1"/>
  <c r="V128" i="2" s="1"/>
  <c r="O129" i="2"/>
  <c r="H130" i="2"/>
  <c r="P129" i="2"/>
  <c r="E130" i="2"/>
  <c r="R129" i="2" l="1"/>
  <c r="V129" i="2" s="1"/>
  <c r="O130" i="2"/>
  <c r="H131" i="2"/>
  <c r="P130" i="2"/>
  <c r="E131" i="2"/>
  <c r="R130" i="2" l="1"/>
  <c r="V130" i="2" s="1"/>
  <c r="O131" i="2"/>
  <c r="H132" i="2"/>
  <c r="P131" i="2"/>
  <c r="E132" i="2"/>
  <c r="O132" i="2" l="1"/>
  <c r="H133" i="2"/>
  <c r="R131" i="2"/>
  <c r="V131" i="2" s="1"/>
  <c r="P132" i="2"/>
  <c r="E133" i="2"/>
  <c r="R132" i="2" l="1"/>
  <c r="V132" i="2" s="1"/>
  <c r="O133" i="2"/>
  <c r="H134" i="2"/>
  <c r="P133" i="2"/>
  <c r="E134" i="2"/>
  <c r="R133" i="2" l="1"/>
  <c r="V133" i="2" s="1"/>
  <c r="O134" i="2"/>
  <c r="H135" i="2"/>
  <c r="P134" i="2"/>
  <c r="E135" i="2"/>
  <c r="O135" i="2" l="1"/>
  <c r="H136" i="2"/>
  <c r="R134" i="2"/>
  <c r="V134" i="2" s="1"/>
  <c r="P135" i="2"/>
  <c r="E136" i="2"/>
  <c r="R135" i="2" l="1"/>
  <c r="V135" i="2" s="1"/>
  <c r="O136" i="2"/>
  <c r="H137" i="2"/>
  <c r="P136" i="2"/>
  <c r="E137" i="2"/>
  <c r="O137" i="2" l="1"/>
  <c r="H138" i="2"/>
  <c r="R136" i="2"/>
  <c r="V136" i="2" s="1"/>
  <c r="P137" i="2"/>
  <c r="E138" i="2"/>
  <c r="R137" i="2" l="1"/>
  <c r="V137" i="2" s="1"/>
  <c r="O138" i="2"/>
  <c r="H139" i="2"/>
  <c r="P138" i="2"/>
  <c r="E139" i="2"/>
  <c r="R138" i="2" l="1"/>
  <c r="V138" i="2" s="1"/>
  <c r="O139" i="2"/>
  <c r="H140" i="2"/>
  <c r="P139" i="2"/>
  <c r="E140" i="2"/>
  <c r="R139" i="2" l="1"/>
  <c r="V139" i="2" s="1"/>
  <c r="O140" i="2"/>
  <c r="H141" i="2"/>
  <c r="P140" i="2"/>
  <c r="E141" i="2"/>
  <c r="R140" i="2" l="1"/>
  <c r="V140" i="2" s="1"/>
  <c r="O141" i="2"/>
  <c r="H142" i="2"/>
  <c r="P141" i="2"/>
  <c r="E142" i="2"/>
  <c r="O142" i="2" l="1"/>
  <c r="H143" i="2"/>
  <c r="R141" i="2"/>
  <c r="V141" i="2" s="1"/>
  <c r="P142" i="2"/>
  <c r="E143" i="2"/>
  <c r="R142" i="2" l="1"/>
  <c r="V142" i="2" s="1"/>
  <c r="O143" i="2"/>
  <c r="H144" i="2"/>
  <c r="P143" i="2"/>
  <c r="E144" i="2"/>
  <c r="R143" i="2" l="1"/>
  <c r="V143" i="2" s="1"/>
  <c r="O144" i="2"/>
  <c r="H145" i="2"/>
  <c r="P144" i="2"/>
  <c r="E145" i="2"/>
  <c r="R144" i="2" l="1"/>
  <c r="V144" i="2" s="1"/>
  <c r="O145" i="2"/>
  <c r="H146" i="2"/>
  <c r="P145" i="2"/>
  <c r="E146" i="2"/>
  <c r="O146" i="2" l="1"/>
  <c r="H147" i="2"/>
  <c r="R145" i="2"/>
  <c r="V145" i="2" s="1"/>
  <c r="P146" i="2"/>
  <c r="E147" i="2"/>
  <c r="R146" i="2" l="1"/>
  <c r="V146" i="2" s="1"/>
  <c r="O147" i="2"/>
  <c r="H148" i="2"/>
  <c r="P147" i="2"/>
  <c r="E148" i="2"/>
  <c r="O148" i="2" l="1"/>
  <c r="H149" i="2"/>
  <c r="R147" i="2"/>
  <c r="V147" i="2" s="1"/>
  <c r="P148" i="2"/>
  <c r="E149" i="2"/>
  <c r="R148" i="2" l="1"/>
  <c r="V148" i="2" s="1"/>
  <c r="O149" i="2"/>
  <c r="H150" i="2"/>
  <c r="P149" i="2"/>
  <c r="E150" i="2"/>
  <c r="R149" i="2" l="1"/>
  <c r="V149" i="2" s="1"/>
  <c r="O150" i="2"/>
  <c r="H151" i="2"/>
  <c r="P150" i="2"/>
  <c r="E151" i="2"/>
  <c r="O151" i="2" l="1"/>
  <c r="H152" i="2"/>
  <c r="R150" i="2"/>
  <c r="V150" i="2" s="1"/>
  <c r="P151" i="2"/>
  <c r="E152" i="2"/>
  <c r="O152" i="2" l="1"/>
  <c r="H153" i="2"/>
  <c r="R151" i="2"/>
  <c r="V151" i="2" s="1"/>
  <c r="P152" i="2"/>
  <c r="E153" i="2"/>
  <c r="R152" i="2" l="1"/>
  <c r="V152" i="2" s="1"/>
  <c r="O153" i="2"/>
  <c r="H154" i="2"/>
  <c r="P153" i="2"/>
  <c r="E154" i="2"/>
  <c r="R153" i="2" l="1"/>
  <c r="V153" i="2" s="1"/>
  <c r="O154" i="2"/>
  <c r="H155" i="2"/>
  <c r="P154" i="2"/>
  <c r="E155" i="2"/>
  <c r="R154" i="2" l="1"/>
  <c r="V154" i="2" s="1"/>
  <c r="O155" i="2"/>
  <c r="H156" i="2"/>
  <c r="P155" i="2"/>
  <c r="E156" i="2"/>
  <c r="R155" i="2" l="1"/>
  <c r="V155" i="2" s="1"/>
  <c r="O156" i="2"/>
  <c r="H157" i="2"/>
  <c r="P156" i="2"/>
  <c r="E157" i="2"/>
  <c r="R156" i="2" l="1"/>
  <c r="V156" i="2" s="1"/>
  <c r="O157" i="2"/>
  <c r="H158" i="2"/>
  <c r="P157" i="2"/>
  <c r="E158" i="2"/>
  <c r="O158" i="2" l="1"/>
  <c r="H159" i="2"/>
  <c r="R157" i="2"/>
  <c r="V157" i="2" s="1"/>
  <c r="P158" i="2"/>
  <c r="E159" i="2"/>
  <c r="R158" i="2" l="1"/>
  <c r="V158" i="2" s="1"/>
  <c r="O159" i="2"/>
  <c r="H160" i="2"/>
  <c r="P159" i="2"/>
  <c r="E160" i="2"/>
  <c r="R159" i="2" l="1"/>
  <c r="V159" i="2" s="1"/>
  <c r="O160" i="2"/>
  <c r="H161" i="2"/>
  <c r="P160" i="2"/>
  <c r="E161" i="2"/>
  <c r="R160" i="2" l="1"/>
  <c r="V160" i="2" s="1"/>
  <c r="O161" i="2"/>
  <c r="H162" i="2"/>
  <c r="P161" i="2"/>
  <c r="E162" i="2"/>
  <c r="R161" i="2" l="1"/>
  <c r="V161" i="2" s="1"/>
  <c r="O162" i="2"/>
  <c r="H163" i="2"/>
  <c r="P162" i="2"/>
  <c r="E163" i="2"/>
  <c r="R162" i="2" l="1"/>
  <c r="V162" i="2" s="1"/>
  <c r="O163" i="2"/>
  <c r="H164" i="2"/>
  <c r="P163" i="2"/>
  <c r="E164" i="2"/>
  <c r="R163" i="2" l="1"/>
  <c r="V163" i="2" s="1"/>
  <c r="O164" i="2"/>
  <c r="H165" i="2"/>
  <c r="P164" i="2"/>
  <c r="E165" i="2"/>
  <c r="R164" i="2" l="1"/>
  <c r="V164" i="2" s="1"/>
  <c r="O165" i="2"/>
  <c r="H166" i="2"/>
  <c r="P165" i="2"/>
  <c r="E166" i="2"/>
  <c r="R165" i="2" l="1"/>
  <c r="V165" i="2" s="1"/>
  <c r="O166" i="2"/>
  <c r="H167" i="2"/>
  <c r="P166" i="2"/>
  <c r="E167" i="2"/>
  <c r="O167" i="2" l="1"/>
  <c r="H168" i="2"/>
  <c r="R166" i="2"/>
  <c r="V166" i="2" s="1"/>
  <c r="P167" i="2"/>
  <c r="E168" i="2"/>
  <c r="R167" i="2" l="1"/>
  <c r="V167" i="2" s="1"/>
  <c r="O168" i="2"/>
  <c r="H169" i="2"/>
  <c r="P168" i="2"/>
  <c r="E169" i="2"/>
  <c r="O169" i="2" l="1"/>
  <c r="H170" i="2"/>
  <c r="R168" i="2"/>
  <c r="V168" i="2" s="1"/>
  <c r="P169" i="2"/>
  <c r="E170" i="2"/>
  <c r="R169" i="2" l="1"/>
  <c r="V169" i="2" s="1"/>
  <c r="O170" i="2"/>
  <c r="H171" i="2"/>
  <c r="P170" i="2"/>
  <c r="E171" i="2"/>
  <c r="R170" i="2" l="1"/>
  <c r="V170" i="2" s="1"/>
  <c r="O171" i="2"/>
  <c r="H172" i="2"/>
  <c r="P171" i="2"/>
  <c r="E172" i="2"/>
  <c r="O172" i="2" l="1"/>
  <c r="H173" i="2"/>
  <c r="R171" i="2"/>
  <c r="V171" i="2" s="1"/>
  <c r="P172" i="2"/>
  <c r="E173" i="2"/>
  <c r="R172" i="2" l="1"/>
  <c r="V172" i="2" s="1"/>
  <c r="O173" i="2"/>
  <c r="H174" i="2"/>
  <c r="P173" i="2"/>
  <c r="E174" i="2"/>
  <c r="R173" i="2" l="1"/>
  <c r="V173" i="2" s="1"/>
  <c r="O174" i="2"/>
  <c r="H175" i="2"/>
  <c r="P174" i="2"/>
  <c r="E175" i="2"/>
  <c r="O175" i="2" l="1"/>
  <c r="H176" i="2"/>
  <c r="R174" i="2"/>
  <c r="V174" i="2" s="1"/>
  <c r="P175" i="2"/>
  <c r="E176" i="2"/>
  <c r="R175" i="2" l="1"/>
  <c r="V175" i="2" s="1"/>
  <c r="O176" i="2"/>
  <c r="H177" i="2"/>
  <c r="P176" i="2"/>
  <c r="E177" i="2"/>
  <c r="R176" i="2" l="1"/>
  <c r="V176" i="2" s="1"/>
  <c r="O177" i="2"/>
  <c r="H178" i="2"/>
  <c r="P177" i="2"/>
  <c r="E178" i="2"/>
  <c r="R177" i="2" l="1"/>
  <c r="V177" i="2" s="1"/>
  <c r="O178" i="2"/>
  <c r="H179" i="2"/>
  <c r="P178" i="2"/>
  <c r="E179" i="2"/>
  <c r="R178" i="2" l="1"/>
  <c r="V178" i="2" s="1"/>
  <c r="O179" i="2"/>
  <c r="H180" i="2"/>
  <c r="P179" i="2"/>
  <c r="E180" i="2"/>
  <c r="R179" i="2" l="1"/>
  <c r="V179" i="2" s="1"/>
  <c r="O180" i="2"/>
  <c r="H181" i="2"/>
  <c r="P180" i="2"/>
  <c r="E181" i="2"/>
  <c r="R180" i="2" l="1"/>
  <c r="V180" i="2" s="1"/>
  <c r="O181" i="2"/>
  <c r="H182" i="2"/>
  <c r="P181" i="2"/>
  <c r="E182" i="2"/>
  <c r="R181" i="2" l="1"/>
  <c r="V181" i="2" s="1"/>
  <c r="O182" i="2"/>
  <c r="H183" i="2"/>
  <c r="P182" i="2"/>
  <c r="E183" i="2"/>
  <c r="R182" i="2" l="1"/>
  <c r="V182" i="2" s="1"/>
  <c r="O183" i="2"/>
  <c r="H184" i="2"/>
  <c r="P183" i="2"/>
  <c r="E184" i="2"/>
  <c r="R183" i="2" l="1"/>
  <c r="V183" i="2" s="1"/>
  <c r="O184" i="2"/>
  <c r="H185" i="2"/>
  <c r="P184" i="2"/>
  <c r="E185" i="2"/>
  <c r="R184" i="2" l="1"/>
  <c r="V184" i="2" s="1"/>
  <c r="O185" i="2"/>
  <c r="H186" i="2"/>
  <c r="P185" i="2"/>
  <c r="E186" i="2"/>
  <c r="R185" i="2" l="1"/>
  <c r="V185" i="2" s="1"/>
  <c r="O186" i="2"/>
  <c r="H187" i="2"/>
  <c r="P186" i="2"/>
  <c r="E187" i="2"/>
  <c r="R186" i="2" l="1"/>
  <c r="V186" i="2" s="1"/>
  <c r="O187" i="2"/>
  <c r="H188" i="2"/>
  <c r="P187" i="2"/>
  <c r="E188" i="2"/>
  <c r="R187" i="2" l="1"/>
  <c r="V187" i="2" s="1"/>
  <c r="O188" i="2"/>
  <c r="H189" i="2"/>
  <c r="P188" i="2"/>
  <c r="E189" i="2"/>
  <c r="R188" i="2" l="1"/>
  <c r="V188" i="2" s="1"/>
  <c r="O189" i="2"/>
  <c r="H190" i="2"/>
  <c r="P189" i="2"/>
  <c r="E190" i="2"/>
  <c r="R189" i="2" l="1"/>
  <c r="V189" i="2" s="1"/>
  <c r="O190" i="2"/>
  <c r="H191" i="2"/>
  <c r="P190" i="2"/>
  <c r="E191" i="2"/>
  <c r="R190" i="2" l="1"/>
  <c r="V190" i="2" s="1"/>
  <c r="O191" i="2"/>
  <c r="H192" i="2"/>
  <c r="P191" i="2"/>
  <c r="E192" i="2"/>
  <c r="R191" i="2" l="1"/>
  <c r="V191" i="2" s="1"/>
  <c r="O192" i="2"/>
  <c r="H193" i="2"/>
  <c r="P192" i="2"/>
  <c r="E193" i="2"/>
  <c r="O193" i="2" l="1"/>
  <c r="H194" i="2"/>
  <c r="R192" i="2"/>
  <c r="V192" i="2" s="1"/>
  <c r="P193" i="2"/>
  <c r="E194" i="2"/>
  <c r="R193" i="2" l="1"/>
  <c r="V193" i="2" s="1"/>
  <c r="O194" i="2"/>
  <c r="H195" i="2"/>
  <c r="P194" i="2"/>
  <c r="E195" i="2"/>
  <c r="R194" i="2" l="1"/>
  <c r="V194" i="2" s="1"/>
  <c r="O195" i="2"/>
  <c r="H196" i="2"/>
  <c r="P195" i="2"/>
  <c r="E196" i="2"/>
  <c r="O196" i="2" l="1"/>
  <c r="H197" i="2"/>
  <c r="R195" i="2"/>
  <c r="V195" i="2" s="1"/>
  <c r="P196" i="2"/>
  <c r="E197" i="2"/>
  <c r="R196" i="2" l="1"/>
  <c r="V196" i="2" s="1"/>
  <c r="O197" i="2"/>
  <c r="H198" i="2"/>
  <c r="P197" i="2"/>
  <c r="E198" i="2"/>
  <c r="O198" i="2" l="1"/>
  <c r="H199" i="2"/>
  <c r="R197" i="2"/>
  <c r="V197" i="2" s="1"/>
  <c r="P198" i="2"/>
  <c r="E199" i="2"/>
  <c r="R198" i="2" l="1"/>
  <c r="V198" i="2" s="1"/>
  <c r="O199" i="2"/>
  <c r="H200" i="2"/>
  <c r="P199" i="2"/>
  <c r="E200" i="2"/>
  <c r="R199" i="2" l="1"/>
  <c r="V199" i="2" s="1"/>
  <c r="O200" i="2"/>
  <c r="H201" i="2"/>
  <c r="P200" i="2"/>
  <c r="E201" i="2"/>
  <c r="O201" i="2" l="1"/>
  <c r="H202" i="2"/>
  <c r="R200" i="2"/>
  <c r="V200" i="2" s="1"/>
  <c r="P201" i="2"/>
  <c r="E202" i="2"/>
  <c r="R201" i="2" l="1"/>
  <c r="V201" i="2" s="1"/>
  <c r="O202" i="2"/>
  <c r="H203" i="2"/>
  <c r="P202" i="2"/>
  <c r="E203" i="2"/>
  <c r="R202" i="2" l="1"/>
  <c r="V202" i="2" s="1"/>
  <c r="O203" i="2"/>
  <c r="H204" i="2"/>
  <c r="P203" i="2"/>
  <c r="E204" i="2"/>
  <c r="R203" i="2" l="1"/>
  <c r="V203" i="2" s="1"/>
  <c r="O204" i="2"/>
  <c r="H205" i="2"/>
  <c r="P204" i="2"/>
  <c r="E205" i="2"/>
  <c r="R204" i="2" l="1"/>
  <c r="V204" i="2" s="1"/>
  <c r="O205" i="2"/>
  <c r="H206" i="2"/>
  <c r="P205" i="2"/>
  <c r="E206" i="2"/>
  <c r="O206" i="2" l="1"/>
  <c r="H207" i="2"/>
  <c r="R205" i="2"/>
  <c r="V205" i="2" s="1"/>
  <c r="P206" i="2"/>
  <c r="E207" i="2"/>
  <c r="R206" i="2" l="1"/>
  <c r="V206" i="2" s="1"/>
  <c r="O207" i="2"/>
  <c r="H208" i="2"/>
  <c r="P207" i="2"/>
  <c r="E208" i="2"/>
  <c r="R207" i="2" l="1"/>
  <c r="V207" i="2" s="1"/>
  <c r="O208" i="2"/>
  <c r="H209" i="2"/>
  <c r="P208" i="2"/>
  <c r="E209" i="2"/>
  <c r="O209" i="2" l="1"/>
  <c r="H210" i="2"/>
  <c r="R208" i="2"/>
  <c r="V208" i="2" s="1"/>
  <c r="P209" i="2"/>
  <c r="E210" i="2"/>
  <c r="R209" i="2" l="1"/>
  <c r="V209" i="2" s="1"/>
  <c r="O210" i="2"/>
  <c r="H211" i="2"/>
  <c r="P210" i="2"/>
  <c r="E211" i="2"/>
  <c r="O211" i="2" l="1"/>
  <c r="H212" i="2"/>
  <c r="R210" i="2"/>
  <c r="V210" i="2" s="1"/>
  <c r="P211" i="2"/>
  <c r="E212" i="2"/>
  <c r="R211" i="2" l="1"/>
  <c r="V211" i="2" s="1"/>
  <c r="O212" i="2"/>
  <c r="H213" i="2"/>
  <c r="P212" i="2"/>
  <c r="E213" i="2"/>
  <c r="R212" i="2" l="1"/>
  <c r="V212" i="2" s="1"/>
  <c r="O213" i="2"/>
  <c r="H214" i="2"/>
  <c r="P213" i="2"/>
  <c r="E214" i="2"/>
  <c r="O214" i="2" l="1"/>
  <c r="H215" i="2"/>
  <c r="R213" i="2"/>
  <c r="V213" i="2" s="1"/>
  <c r="P214" i="2"/>
  <c r="E215" i="2"/>
  <c r="R214" i="2" l="1"/>
  <c r="V214" i="2" s="1"/>
  <c r="O215" i="2"/>
  <c r="H216" i="2"/>
  <c r="P215" i="2"/>
  <c r="E216" i="2"/>
  <c r="R215" i="2" l="1"/>
  <c r="V215" i="2" s="1"/>
  <c r="O216" i="2"/>
  <c r="H217" i="2"/>
  <c r="P216" i="2"/>
  <c r="E217" i="2"/>
  <c r="R216" i="2" l="1"/>
  <c r="V216" i="2" s="1"/>
  <c r="O217" i="2"/>
  <c r="H218" i="2"/>
  <c r="P217" i="2"/>
  <c r="E218" i="2"/>
  <c r="R217" i="2" l="1"/>
  <c r="V217" i="2" s="1"/>
  <c r="O218" i="2"/>
  <c r="H219" i="2"/>
  <c r="P218" i="2"/>
  <c r="E219" i="2"/>
  <c r="R218" i="2" l="1"/>
  <c r="V218" i="2" s="1"/>
  <c r="O219" i="2"/>
  <c r="H220" i="2"/>
  <c r="P219" i="2"/>
  <c r="E220" i="2"/>
  <c r="O220" i="2" l="1"/>
  <c r="H221" i="2"/>
  <c r="R219" i="2"/>
  <c r="V219" i="2" s="1"/>
  <c r="P220" i="2"/>
  <c r="E221" i="2"/>
  <c r="R220" i="2" l="1"/>
  <c r="V220" i="2" s="1"/>
  <c r="O221" i="2"/>
  <c r="H222" i="2"/>
  <c r="P221" i="2"/>
  <c r="E222" i="2"/>
  <c r="R221" i="2" l="1"/>
  <c r="V221" i="2" s="1"/>
  <c r="O222" i="2"/>
  <c r="H223" i="2"/>
  <c r="P222" i="2"/>
  <c r="E223" i="2"/>
  <c r="R222" i="2" l="1"/>
  <c r="V222" i="2" s="1"/>
  <c r="O223" i="2"/>
  <c r="H224" i="2"/>
  <c r="P223" i="2"/>
  <c r="E224" i="2"/>
  <c r="R223" i="2" l="1"/>
  <c r="V223" i="2" s="1"/>
  <c r="O224" i="2"/>
  <c r="H225" i="2"/>
  <c r="P224" i="2"/>
  <c r="E225" i="2"/>
  <c r="R224" i="2" l="1"/>
  <c r="V224" i="2" s="1"/>
  <c r="O225" i="2"/>
  <c r="H226" i="2"/>
  <c r="P225" i="2"/>
  <c r="E226" i="2"/>
  <c r="O226" i="2" l="1"/>
  <c r="H227" i="2"/>
  <c r="R225" i="2"/>
  <c r="V225" i="2" s="1"/>
  <c r="P226" i="2"/>
  <c r="E227" i="2"/>
  <c r="R226" i="2" l="1"/>
  <c r="V226" i="2" s="1"/>
  <c r="O227" i="2"/>
  <c r="H228" i="2"/>
  <c r="P227" i="2"/>
  <c r="E228" i="2"/>
  <c r="O228" i="2" l="1"/>
  <c r="H229" i="2"/>
  <c r="R227" i="2"/>
  <c r="V227" i="2" s="1"/>
  <c r="P228" i="2"/>
  <c r="E229" i="2"/>
  <c r="R228" i="2" l="1"/>
  <c r="V228" i="2" s="1"/>
  <c r="O229" i="2"/>
  <c r="H230" i="2"/>
  <c r="P229" i="2"/>
  <c r="E230" i="2"/>
  <c r="R229" i="2" l="1"/>
  <c r="V229" i="2" s="1"/>
  <c r="O230" i="2"/>
  <c r="H231" i="2"/>
  <c r="P230" i="2"/>
  <c r="E231" i="2"/>
  <c r="R230" i="2" l="1"/>
  <c r="V230" i="2" s="1"/>
  <c r="O231" i="2"/>
  <c r="H232" i="2"/>
  <c r="P231" i="2"/>
  <c r="E232" i="2"/>
  <c r="R231" i="2" l="1"/>
  <c r="V231" i="2" s="1"/>
  <c r="O232" i="2"/>
  <c r="H233" i="2"/>
  <c r="P232" i="2"/>
  <c r="E233" i="2"/>
  <c r="R232" i="2" l="1"/>
  <c r="V232" i="2" s="1"/>
  <c r="O233" i="2"/>
  <c r="H234" i="2"/>
  <c r="P233" i="2"/>
  <c r="E234" i="2"/>
  <c r="R233" i="2" l="1"/>
  <c r="V233" i="2" s="1"/>
  <c r="O234" i="2"/>
  <c r="H235" i="2"/>
  <c r="P234" i="2"/>
  <c r="E235" i="2"/>
  <c r="R234" i="2" l="1"/>
  <c r="V234" i="2" s="1"/>
  <c r="O235" i="2"/>
  <c r="H236" i="2"/>
  <c r="P235" i="2"/>
  <c r="E236" i="2"/>
  <c r="R235" i="2" l="1"/>
  <c r="V235" i="2" s="1"/>
  <c r="O236" i="2"/>
  <c r="H237" i="2"/>
  <c r="P236" i="2"/>
  <c r="E237" i="2"/>
  <c r="R236" i="2" l="1"/>
  <c r="V236" i="2" s="1"/>
  <c r="O237" i="2"/>
  <c r="H238" i="2"/>
  <c r="P237" i="2"/>
  <c r="E238" i="2"/>
  <c r="R237" i="2" l="1"/>
  <c r="V237" i="2" s="1"/>
  <c r="O238" i="2"/>
  <c r="H239" i="2"/>
  <c r="P238" i="2"/>
  <c r="E239" i="2"/>
  <c r="O239" i="2" l="1"/>
  <c r="H240" i="2"/>
  <c r="R238" i="2"/>
  <c r="V238" i="2" s="1"/>
  <c r="P239" i="2"/>
  <c r="E240" i="2"/>
  <c r="R239" i="2" l="1"/>
  <c r="V239" i="2" s="1"/>
  <c r="O240" i="2"/>
  <c r="H241" i="2"/>
  <c r="P240" i="2"/>
  <c r="E241" i="2"/>
  <c r="O241" i="2" l="1"/>
  <c r="H242" i="2"/>
  <c r="R240" i="2"/>
  <c r="V240" i="2" s="1"/>
  <c r="P241" i="2"/>
  <c r="E242" i="2"/>
  <c r="R241" i="2" l="1"/>
  <c r="V241" i="2" s="1"/>
  <c r="O242" i="2"/>
  <c r="H243" i="2"/>
  <c r="P242" i="2"/>
  <c r="E243" i="2"/>
  <c r="R242" i="2" l="1"/>
  <c r="V242" i="2" s="1"/>
  <c r="O243" i="2"/>
  <c r="H244" i="2"/>
  <c r="P243" i="2"/>
  <c r="E244" i="2"/>
  <c r="R243" i="2" l="1"/>
  <c r="V243" i="2" s="1"/>
  <c r="O244" i="2"/>
  <c r="H245" i="2"/>
  <c r="P244" i="2"/>
  <c r="E245" i="2"/>
  <c r="R244" i="2" l="1"/>
  <c r="V244" i="2" s="1"/>
  <c r="O245" i="2"/>
  <c r="H246" i="2"/>
  <c r="P245" i="2"/>
  <c r="E246" i="2"/>
  <c r="O246" i="2" l="1"/>
  <c r="H247" i="2"/>
  <c r="R245" i="2"/>
  <c r="V245" i="2" s="1"/>
  <c r="P246" i="2"/>
  <c r="E247" i="2"/>
  <c r="R246" i="2" l="1"/>
  <c r="V246" i="2" s="1"/>
  <c r="O247" i="2"/>
  <c r="H248" i="2"/>
  <c r="P247" i="2"/>
  <c r="E248" i="2"/>
  <c r="R247" i="2" l="1"/>
  <c r="V247" i="2" s="1"/>
  <c r="O248" i="2"/>
  <c r="H249" i="2"/>
  <c r="P248" i="2"/>
  <c r="E249" i="2"/>
  <c r="O249" i="2" l="1"/>
  <c r="H250" i="2"/>
  <c r="R248" i="2"/>
  <c r="V248" i="2" s="1"/>
  <c r="P249" i="2"/>
  <c r="E250" i="2"/>
  <c r="R249" i="2" l="1"/>
  <c r="V249" i="2" s="1"/>
  <c r="O250" i="2"/>
  <c r="H251" i="2"/>
  <c r="P250" i="2"/>
  <c r="E251" i="2"/>
  <c r="O251" i="2" l="1"/>
  <c r="H252" i="2"/>
  <c r="R250" i="2"/>
  <c r="V250" i="2" s="1"/>
  <c r="P251" i="2"/>
  <c r="E252" i="2"/>
  <c r="R251" i="2" l="1"/>
  <c r="V251" i="2" s="1"/>
  <c r="O252" i="2"/>
  <c r="H253" i="2"/>
  <c r="P252" i="2"/>
  <c r="E253" i="2"/>
  <c r="O253" i="2" l="1"/>
  <c r="H254" i="2"/>
  <c r="R252" i="2"/>
  <c r="V252" i="2" s="1"/>
  <c r="P253" i="2"/>
  <c r="E254" i="2"/>
  <c r="R253" i="2" l="1"/>
  <c r="V253" i="2" s="1"/>
  <c r="O254" i="2"/>
  <c r="H255" i="2"/>
  <c r="P254" i="2"/>
  <c r="E255" i="2"/>
  <c r="O255" i="2" l="1"/>
  <c r="H256" i="2"/>
  <c r="R254" i="2"/>
  <c r="V254" i="2" s="1"/>
  <c r="P255" i="2"/>
  <c r="E256" i="2"/>
  <c r="R255" i="2" l="1"/>
  <c r="V255" i="2" s="1"/>
  <c r="O256" i="2"/>
  <c r="H257" i="2"/>
  <c r="P256" i="2"/>
  <c r="E257" i="2"/>
  <c r="R256" i="2" l="1"/>
  <c r="V256" i="2" s="1"/>
  <c r="O257" i="2"/>
  <c r="H258" i="2"/>
  <c r="P257" i="2"/>
  <c r="E258" i="2"/>
  <c r="R257" i="2" l="1"/>
  <c r="V257" i="2" s="1"/>
  <c r="O258" i="2"/>
  <c r="H259" i="2"/>
  <c r="P258" i="2"/>
  <c r="E259" i="2"/>
  <c r="R258" i="2" l="1"/>
  <c r="V258" i="2" s="1"/>
  <c r="O259" i="2"/>
  <c r="H260" i="2"/>
  <c r="P259" i="2"/>
  <c r="E260" i="2"/>
  <c r="O260" i="2" l="1"/>
  <c r="H261" i="2"/>
  <c r="R259" i="2"/>
  <c r="V259" i="2" s="1"/>
  <c r="P260" i="2"/>
  <c r="E261" i="2"/>
  <c r="R260" i="2" l="1"/>
  <c r="V260" i="2" s="1"/>
  <c r="O261" i="2"/>
  <c r="H262" i="2"/>
  <c r="P261" i="2"/>
  <c r="E262" i="2"/>
  <c r="O262" i="2" l="1"/>
  <c r="H263" i="2"/>
  <c r="R261" i="2"/>
  <c r="V261" i="2" s="1"/>
  <c r="P262" i="2"/>
  <c r="E263" i="2"/>
  <c r="R262" i="2" l="1"/>
  <c r="V262" i="2" s="1"/>
  <c r="O263" i="2"/>
  <c r="H264" i="2"/>
  <c r="P263" i="2"/>
  <c r="E264" i="2"/>
  <c r="O264" i="2" l="1"/>
  <c r="H265" i="2"/>
  <c r="R263" i="2"/>
  <c r="V263" i="2" s="1"/>
  <c r="P264" i="2"/>
  <c r="E265" i="2"/>
  <c r="R264" i="2" l="1"/>
  <c r="V264" i="2" s="1"/>
  <c r="O265" i="2"/>
  <c r="H266" i="2"/>
  <c r="P265" i="2"/>
  <c r="E266" i="2"/>
  <c r="R265" i="2" l="1"/>
  <c r="V265" i="2" s="1"/>
  <c r="O266" i="2"/>
  <c r="H267" i="2"/>
  <c r="P266" i="2"/>
  <c r="E267" i="2"/>
  <c r="O267" i="2" l="1"/>
  <c r="H268" i="2"/>
  <c r="R266" i="2"/>
  <c r="V266" i="2" s="1"/>
  <c r="P267" i="2"/>
  <c r="E268" i="2"/>
  <c r="O268" i="2" l="1"/>
  <c r="H269" i="2"/>
  <c r="R267" i="2"/>
  <c r="V267" i="2" s="1"/>
  <c r="P268" i="2"/>
  <c r="E269" i="2"/>
  <c r="R268" i="2" l="1"/>
  <c r="V268" i="2" s="1"/>
  <c r="O269" i="2"/>
  <c r="H270" i="2"/>
  <c r="P269" i="2"/>
  <c r="E270" i="2"/>
  <c r="R269" i="2" l="1"/>
  <c r="V269" i="2" s="1"/>
  <c r="O270" i="2"/>
  <c r="H271" i="2"/>
  <c r="P270" i="2"/>
  <c r="E271" i="2"/>
  <c r="R270" i="2" l="1"/>
  <c r="V270" i="2" s="1"/>
  <c r="O271" i="2"/>
  <c r="H272" i="2"/>
  <c r="P271" i="2"/>
  <c r="E272" i="2"/>
  <c r="R271" i="2" l="1"/>
  <c r="V271" i="2" s="1"/>
  <c r="O272" i="2"/>
  <c r="H273" i="2"/>
  <c r="P272" i="2"/>
  <c r="E273" i="2"/>
  <c r="O273" i="2" l="1"/>
  <c r="H274" i="2"/>
  <c r="R272" i="2"/>
  <c r="V272" i="2" s="1"/>
  <c r="P273" i="2"/>
  <c r="E274" i="2"/>
  <c r="R273" i="2" l="1"/>
  <c r="V273" i="2" s="1"/>
  <c r="O274" i="2"/>
  <c r="H275" i="2"/>
  <c r="P274" i="2"/>
  <c r="E275" i="2"/>
  <c r="R274" i="2" l="1"/>
  <c r="V274" i="2" s="1"/>
  <c r="O275" i="2"/>
  <c r="H276" i="2"/>
  <c r="P275" i="2"/>
  <c r="E276" i="2"/>
  <c r="R275" i="2" l="1"/>
  <c r="V275" i="2" s="1"/>
  <c r="O276" i="2"/>
  <c r="H277" i="2"/>
  <c r="P276" i="2"/>
  <c r="E277" i="2"/>
  <c r="R276" i="2" l="1"/>
  <c r="V276" i="2" s="1"/>
  <c r="O277" i="2"/>
  <c r="H278" i="2"/>
  <c r="P277" i="2"/>
  <c r="E278" i="2"/>
  <c r="R277" i="2" l="1"/>
  <c r="V277" i="2" s="1"/>
  <c r="O278" i="2"/>
  <c r="H279" i="2"/>
  <c r="P278" i="2"/>
  <c r="E279" i="2"/>
  <c r="O279" i="2" l="1"/>
  <c r="H280" i="2"/>
  <c r="R278" i="2"/>
  <c r="V278" i="2" s="1"/>
  <c r="P279" i="2"/>
  <c r="E280" i="2"/>
  <c r="R279" i="2" l="1"/>
  <c r="V279" i="2" s="1"/>
  <c r="O280" i="2"/>
  <c r="H281" i="2"/>
  <c r="P280" i="2"/>
  <c r="E281" i="2"/>
  <c r="R280" i="2" l="1"/>
  <c r="V280" i="2" s="1"/>
  <c r="O281" i="2"/>
  <c r="H282" i="2"/>
  <c r="P281" i="2"/>
  <c r="E282" i="2"/>
  <c r="R281" i="2" l="1"/>
  <c r="V281" i="2" s="1"/>
  <c r="O282" i="2"/>
  <c r="H283" i="2"/>
  <c r="P282" i="2"/>
  <c r="E283" i="2"/>
  <c r="R282" i="2" l="1"/>
  <c r="V282" i="2" s="1"/>
  <c r="O283" i="2"/>
  <c r="H284" i="2"/>
  <c r="P283" i="2"/>
  <c r="E284" i="2"/>
  <c r="O284" i="2" l="1"/>
  <c r="H285" i="2"/>
  <c r="R283" i="2"/>
  <c r="V283" i="2" s="1"/>
  <c r="P284" i="2"/>
  <c r="E285" i="2"/>
  <c r="R284" i="2" l="1"/>
  <c r="V284" i="2" s="1"/>
  <c r="O285" i="2"/>
  <c r="H286" i="2"/>
  <c r="P285" i="2"/>
  <c r="E286" i="2"/>
  <c r="O286" i="2" l="1"/>
  <c r="H287" i="2"/>
  <c r="R285" i="2"/>
  <c r="V285" i="2" s="1"/>
  <c r="P286" i="2"/>
  <c r="E287" i="2"/>
  <c r="R286" i="2" l="1"/>
  <c r="V286" i="2" s="1"/>
  <c r="O287" i="2"/>
  <c r="H288" i="2"/>
  <c r="P287" i="2"/>
  <c r="E288" i="2"/>
  <c r="R287" i="2" l="1"/>
  <c r="V287" i="2" s="1"/>
  <c r="O288" i="2"/>
  <c r="H289" i="2"/>
  <c r="P288" i="2"/>
  <c r="E289" i="2"/>
  <c r="O289" i="2" l="1"/>
  <c r="H290" i="2"/>
  <c r="R288" i="2"/>
  <c r="V288" i="2" s="1"/>
  <c r="P289" i="2"/>
  <c r="E290" i="2"/>
  <c r="R289" i="2" l="1"/>
  <c r="V289" i="2" s="1"/>
  <c r="O290" i="2"/>
  <c r="H291" i="2"/>
  <c r="P290" i="2"/>
  <c r="E291" i="2"/>
  <c r="R290" i="2" l="1"/>
  <c r="V290" i="2" s="1"/>
  <c r="O291" i="2"/>
  <c r="H292" i="2"/>
  <c r="P291" i="2"/>
  <c r="E292" i="2"/>
  <c r="R291" i="2" l="1"/>
  <c r="V291" i="2" s="1"/>
  <c r="O292" i="2"/>
  <c r="H293" i="2"/>
  <c r="P292" i="2"/>
  <c r="E293" i="2"/>
  <c r="R292" i="2" l="1"/>
  <c r="V292" i="2" s="1"/>
  <c r="O293" i="2"/>
  <c r="H294" i="2"/>
  <c r="P293" i="2"/>
  <c r="E294" i="2"/>
  <c r="R293" i="2" l="1"/>
  <c r="V293" i="2" s="1"/>
  <c r="O294" i="2"/>
  <c r="H295" i="2"/>
  <c r="P294" i="2"/>
  <c r="E295" i="2"/>
  <c r="R294" i="2" l="1"/>
  <c r="V294" i="2" s="1"/>
  <c r="O295" i="2"/>
  <c r="H296" i="2"/>
  <c r="P295" i="2"/>
  <c r="E296" i="2"/>
  <c r="R295" i="2" l="1"/>
  <c r="V295" i="2" s="1"/>
  <c r="O296" i="2"/>
  <c r="H297" i="2"/>
  <c r="P296" i="2"/>
  <c r="E297" i="2"/>
  <c r="R296" i="2" l="1"/>
  <c r="V296" i="2" s="1"/>
  <c r="O297" i="2"/>
  <c r="H298" i="2"/>
  <c r="P297" i="2"/>
  <c r="E298" i="2"/>
  <c r="R297" i="2" l="1"/>
  <c r="V297" i="2" s="1"/>
  <c r="O298" i="2"/>
  <c r="H299" i="2"/>
  <c r="P298" i="2"/>
  <c r="E299" i="2"/>
  <c r="O299" i="2" l="1"/>
  <c r="H300" i="2"/>
  <c r="R298" i="2"/>
  <c r="V298" i="2" s="1"/>
  <c r="P299" i="2"/>
  <c r="E300" i="2"/>
  <c r="R299" i="2" l="1"/>
  <c r="V299" i="2" s="1"/>
  <c r="O300" i="2"/>
  <c r="H301" i="2"/>
  <c r="P300" i="2"/>
  <c r="E301" i="2"/>
  <c r="R300" i="2" l="1"/>
  <c r="V300" i="2" s="1"/>
  <c r="O301" i="2"/>
  <c r="H302" i="2"/>
  <c r="P301" i="2"/>
  <c r="E302" i="2"/>
  <c r="R301" i="2" l="1"/>
  <c r="V301" i="2" s="1"/>
  <c r="O302" i="2"/>
  <c r="H303" i="2"/>
  <c r="P302" i="2"/>
  <c r="E303" i="2"/>
  <c r="R302" i="2" l="1"/>
  <c r="V302" i="2" s="1"/>
  <c r="O303" i="2"/>
  <c r="H304" i="2"/>
  <c r="P303" i="2"/>
  <c r="E304" i="2"/>
  <c r="R303" i="2" l="1"/>
  <c r="V303" i="2" s="1"/>
  <c r="O304" i="2"/>
  <c r="H305" i="2"/>
  <c r="P304" i="2"/>
  <c r="E305" i="2"/>
  <c r="R304" i="2" l="1"/>
  <c r="V304" i="2" s="1"/>
  <c r="O305" i="2"/>
  <c r="H306" i="2"/>
  <c r="P305" i="2"/>
  <c r="E306" i="2"/>
  <c r="O306" i="2" l="1"/>
  <c r="H307" i="2"/>
  <c r="R305" i="2"/>
  <c r="V305" i="2" s="1"/>
  <c r="P306" i="2"/>
  <c r="E307" i="2"/>
  <c r="R306" i="2" l="1"/>
  <c r="V306" i="2" s="1"/>
  <c r="O307" i="2"/>
  <c r="H308" i="2"/>
  <c r="P307" i="2"/>
  <c r="E308" i="2"/>
  <c r="R307" i="2" l="1"/>
  <c r="V307" i="2" s="1"/>
  <c r="O308" i="2"/>
  <c r="H309" i="2"/>
  <c r="P308" i="2"/>
  <c r="E309" i="2"/>
  <c r="O309" i="2" l="1"/>
  <c r="H310" i="2"/>
  <c r="R308" i="2"/>
  <c r="V308" i="2" s="1"/>
  <c r="P309" i="2"/>
  <c r="E310" i="2"/>
  <c r="R309" i="2" l="1"/>
  <c r="V309" i="2" s="1"/>
  <c r="O310" i="2"/>
  <c r="H311" i="2"/>
  <c r="P310" i="2"/>
  <c r="E311" i="2"/>
  <c r="R310" i="2" l="1"/>
  <c r="V310" i="2" s="1"/>
  <c r="O311" i="2"/>
  <c r="H312" i="2"/>
  <c r="P311" i="2"/>
  <c r="E312" i="2"/>
  <c r="R311" i="2" l="1"/>
  <c r="V311" i="2" s="1"/>
  <c r="O312" i="2"/>
  <c r="H313" i="2"/>
  <c r="P312" i="2"/>
  <c r="E313" i="2"/>
  <c r="R312" i="2" l="1"/>
  <c r="V312" i="2" s="1"/>
  <c r="O313" i="2"/>
  <c r="H314" i="2"/>
  <c r="P313" i="2"/>
  <c r="E314" i="2"/>
  <c r="R313" i="2" l="1"/>
  <c r="V313" i="2" s="1"/>
  <c r="O314" i="2"/>
  <c r="H315" i="2"/>
  <c r="P314" i="2"/>
  <c r="E315" i="2"/>
  <c r="R314" i="2" l="1"/>
  <c r="V314" i="2" s="1"/>
  <c r="O315" i="2"/>
  <c r="H316" i="2"/>
  <c r="P315" i="2"/>
  <c r="E316" i="2"/>
  <c r="R315" i="2" l="1"/>
  <c r="V315" i="2" s="1"/>
  <c r="O316" i="2"/>
  <c r="H317" i="2"/>
  <c r="P316" i="2"/>
  <c r="E317" i="2"/>
  <c r="R316" i="2" l="1"/>
  <c r="V316" i="2" s="1"/>
  <c r="O317" i="2"/>
  <c r="H318" i="2"/>
  <c r="P317" i="2"/>
  <c r="E318" i="2"/>
  <c r="R317" i="2" l="1"/>
  <c r="V317" i="2" s="1"/>
  <c r="O318" i="2"/>
  <c r="H319" i="2"/>
  <c r="P318" i="2"/>
  <c r="E319" i="2"/>
  <c r="R318" i="2" l="1"/>
  <c r="V318" i="2" s="1"/>
  <c r="O319" i="2"/>
  <c r="H320" i="2"/>
  <c r="P319" i="2"/>
  <c r="E320" i="2"/>
  <c r="R319" i="2" l="1"/>
  <c r="V319" i="2" s="1"/>
  <c r="O320" i="2"/>
  <c r="H321" i="2"/>
  <c r="P320" i="2"/>
  <c r="E321" i="2"/>
  <c r="R320" i="2" l="1"/>
  <c r="V320" i="2" s="1"/>
  <c r="O321" i="2"/>
  <c r="H322" i="2"/>
  <c r="P321" i="2"/>
  <c r="E322" i="2"/>
  <c r="R321" i="2" l="1"/>
  <c r="V321" i="2" s="1"/>
  <c r="O322" i="2"/>
  <c r="H323" i="2"/>
  <c r="P322" i="2"/>
  <c r="E323" i="2"/>
  <c r="R322" i="2" l="1"/>
  <c r="V322" i="2" s="1"/>
  <c r="O323" i="2"/>
  <c r="H324" i="2"/>
  <c r="P323" i="2"/>
  <c r="E324" i="2"/>
  <c r="O324" i="2" l="1"/>
  <c r="H325" i="2"/>
  <c r="R323" i="2"/>
  <c r="V323" i="2" s="1"/>
  <c r="P324" i="2"/>
  <c r="E325" i="2"/>
  <c r="R324" i="2" l="1"/>
  <c r="V324" i="2" s="1"/>
  <c r="O325" i="2"/>
  <c r="H326" i="2"/>
  <c r="P325" i="2"/>
  <c r="E326" i="2"/>
  <c r="R325" i="2" l="1"/>
  <c r="V325" i="2" s="1"/>
  <c r="O326" i="2"/>
  <c r="H327" i="2"/>
  <c r="P326" i="2"/>
  <c r="E327" i="2"/>
  <c r="R326" i="2" l="1"/>
  <c r="V326" i="2" s="1"/>
  <c r="O327" i="2"/>
  <c r="H328" i="2"/>
  <c r="P327" i="2"/>
  <c r="E328" i="2"/>
  <c r="R327" i="2" l="1"/>
  <c r="V327" i="2" s="1"/>
  <c r="O328" i="2"/>
  <c r="H329" i="2"/>
  <c r="P328" i="2"/>
  <c r="E329" i="2"/>
  <c r="O329" i="2" l="1"/>
  <c r="H330" i="2"/>
  <c r="R328" i="2"/>
  <c r="V328" i="2" s="1"/>
  <c r="P329" i="2"/>
  <c r="E330" i="2"/>
  <c r="R329" i="2" l="1"/>
  <c r="V329" i="2" s="1"/>
  <c r="O330" i="2"/>
  <c r="H331" i="2"/>
  <c r="P330" i="2"/>
  <c r="E331" i="2"/>
  <c r="O331" i="2" l="1"/>
  <c r="H332" i="2"/>
  <c r="R330" i="2"/>
  <c r="V330" i="2" s="1"/>
  <c r="P331" i="2"/>
  <c r="E332" i="2"/>
  <c r="R331" i="2" l="1"/>
  <c r="V331" i="2" s="1"/>
  <c r="O332" i="2"/>
  <c r="H333" i="2"/>
  <c r="P332" i="2"/>
  <c r="E333" i="2"/>
  <c r="R332" i="2" l="1"/>
  <c r="V332" i="2" s="1"/>
  <c r="O333" i="2"/>
  <c r="H334" i="2"/>
  <c r="P333" i="2"/>
  <c r="E334" i="2"/>
  <c r="R333" i="2" l="1"/>
  <c r="V333" i="2" s="1"/>
  <c r="O334" i="2"/>
  <c r="H335" i="2"/>
  <c r="P334" i="2"/>
  <c r="E335" i="2"/>
  <c r="R334" i="2" l="1"/>
  <c r="V334" i="2" s="1"/>
  <c r="O335" i="2"/>
  <c r="H336" i="2"/>
  <c r="P335" i="2"/>
  <c r="E336" i="2"/>
  <c r="R335" i="2" l="1"/>
  <c r="V335" i="2" s="1"/>
  <c r="O336" i="2"/>
  <c r="H337" i="2"/>
  <c r="P336" i="2"/>
  <c r="E337" i="2"/>
  <c r="O337" i="2" l="1"/>
  <c r="H338" i="2"/>
  <c r="R336" i="2"/>
  <c r="V336" i="2" s="1"/>
  <c r="P337" i="2"/>
  <c r="E338" i="2"/>
  <c r="R337" i="2" l="1"/>
  <c r="V337" i="2" s="1"/>
  <c r="O338" i="2"/>
  <c r="H339" i="2"/>
  <c r="P338" i="2"/>
  <c r="E339" i="2"/>
  <c r="R338" i="2" l="1"/>
  <c r="V338" i="2" s="1"/>
  <c r="O339" i="2"/>
  <c r="H340" i="2"/>
  <c r="P339" i="2"/>
  <c r="E340" i="2"/>
  <c r="R339" i="2" l="1"/>
  <c r="V339" i="2" s="1"/>
  <c r="O340" i="2"/>
  <c r="H341" i="2"/>
  <c r="P340" i="2"/>
  <c r="E341" i="2"/>
  <c r="R340" i="2" l="1"/>
  <c r="V340" i="2" s="1"/>
  <c r="O341" i="2"/>
  <c r="H342" i="2"/>
  <c r="P341" i="2"/>
  <c r="E342" i="2"/>
  <c r="O342" i="2" l="1"/>
  <c r="H343" i="2"/>
  <c r="R341" i="2"/>
  <c r="V341" i="2" s="1"/>
  <c r="P342" i="2"/>
  <c r="E343" i="2"/>
  <c r="R342" i="2" l="1"/>
  <c r="V342" i="2" s="1"/>
  <c r="O343" i="2"/>
  <c r="H344" i="2"/>
  <c r="P343" i="2"/>
  <c r="E344" i="2"/>
  <c r="R343" i="2" l="1"/>
  <c r="V343" i="2" s="1"/>
  <c r="O344" i="2"/>
  <c r="H345" i="2"/>
  <c r="P344" i="2"/>
  <c r="E345" i="2"/>
  <c r="R344" i="2" l="1"/>
  <c r="V344" i="2" s="1"/>
  <c r="O345" i="2"/>
  <c r="H346" i="2"/>
  <c r="P345" i="2"/>
  <c r="E346" i="2"/>
  <c r="R345" i="2" l="1"/>
  <c r="V345" i="2" s="1"/>
  <c r="O346" i="2"/>
  <c r="H347" i="2"/>
  <c r="P346" i="2"/>
  <c r="E347" i="2"/>
  <c r="R346" i="2" l="1"/>
  <c r="V346" i="2" s="1"/>
  <c r="O347" i="2"/>
  <c r="H348" i="2"/>
  <c r="P347" i="2"/>
  <c r="E348" i="2"/>
  <c r="R347" i="2" l="1"/>
  <c r="V347" i="2" s="1"/>
  <c r="O348" i="2"/>
  <c r="H349" i="2"/>
  <c r="P348" i="2"/>
  <c r="E349" i="2"/>
  <c r="R348" i="2" l="1"/>
  <c r="V348" i="2" s="1"/>
  <c r="O349" i="2"/>
  <c r="H350" i="2"/>
  <c r="P349" i="2"/>
  <c r="E350" i="2"/>
  <c r="R349" i="2" l="1"/>
  <c r="V349" i="2" s="1"/>
  <c r="O350" i="2"/>
  <c r="H351" i="2"/>
  <c r="P350" i="2"/>
  <c r="E351" i="2"/>
  <c r="R350" i="2" l="1"/>
  <c r="V350" i="2" s="1"/>
  <c r="O351" i="2"/>
  <c r="H352" i="2"/>
  <c r="P351" i="2"/>
  <c r="E352" i="2"/>
  <c r="R351" i="2" l="1"/>
  <c r="V351" i="2" s="1"/>
  <c r="O352" i="2"/>
  <c r="H353" i="2"/>
  <c r="P352" i="2"/>
  <c r="E353" i="2"/>
  <c r="R352" i="2" l="1"/>
  <c r="V352" i="2" s="1"/>
  <c r="O353" i="2"/>
  <c r="H354" i="2"/>
  <c r="P353" i="2"/>
  <c r="E354" i="2"/>
  <c r="O354" i="2" l="1"/>
  <c r="H355" i="2"/>
  <c r="R353" i="2"/>
  <c r="V353" i="2" s="1"/>
  <c r="P354" i="2"/>
  <c r="E355" i="2"/>
  <c r="R354" i="2" l="1"/>
  <c r="V354" i="2" s="1"/>
  <c r="O355" i="2"/>
  <c r="H356" i="2"/>
  <c r="P355" i="2"/>
  <c r="E356" i="2"/>
  <c r="R355" i="2" l="1"/>
  <c r="V355" i="2" s="1"/>
  <c r="O356" i="2"/>
  <c r="H357" i="2"/>
  <c r="P356" i="2"/>
  <c r="E357" i="2"/>
  <c r="R356" i="2" l="1"/>
  <c r="V356" i="2" s="1"/>
  <c r="O357" i="2"/>
  <c r="H358" i="2"/>
  <c r="P357" i="2"/>
  <c r="E358" i="2"/>
  <c r="R357" i="2" l="1"/>
  <c r="V357" i="2" s="1"/>
  <c r="O358" i="2"/>
  <c r="H359" i="2"/>
  <c r="P358" i="2"/>
  <c r="E359" i="2"/>
  <c r="R358" i="2" l="1"/>
  <c r="V358" i="2" s="1"/>
  <c r="O359" i="2"/>
  <c r="H360" i="2"/>
  <c r="P359" i="2"/>
  <c r="E360" i="2"/>
  <c r="R359" i="2" l="1"/>
  <c r="V359" i="2" s="1"/>
  <c r="O360" i="2"/>
  <c r="H361" i="2"/>
  <c r="P360" i="2"/>
  <c r="E361" i="2"/>
  <c r="O361" i="2" l="1"/>
  <c r="H362" i="2"/>
  <c r="R360" i="2"/>
  <c r="V360" i="2" s="1"/>
  <c r="P361" i="2"/>
  <c r="E362" i="2"/>
  <c r="R361" i="2" l="1"/>
  <c r="V361" i="2" s="1"/>
  <c r="O362" i="2"/>
  <c r="H363" i="2"/>
  <c r="P362" i="2"/>
  <c r="E363" i="2"/>
  <c r="R362" i="2" l="1"/>
  <c r="V362" i="2" s="1"/>
  <c r="O363" i="2"/>
  <c r="H364" i="2"/>
  <c r="P363" i="2"/>
  <c r="E364" i="2"/>
  <c r="O364" i="2" l="1"/>
  <c r="H365" i="2"/>
  <c r="R363" i="2"/>
  <c r="V363" i="2" s="1"/>
  <c r="P364" i="2"/>
  <c r="E365" i="2"/>
  <c r="R364" i="2" l="1"/>
  <c r="V364" i="2" s="1"/>
  <c r="O365" i="2"/>
  <c r="H366" i="2"/>
  <c r="P365" i="2"/>
  <c r="E366" i="2"/>
  <c r="R365" i="2" l="1"/>
  <c r="V365" i="2" s="1"/>
  <c r="O366" i="2"/>
  <c r="H367" i="2"/>
  <c r="P366" i="2"/>
  <c r="E367" i="2"/>
  <c r="R366" i="2" l="1"/>
  <c r="V366" i="2" s="1"/>
  <c r="O367" i="2"/>
  <c r="H368" i="2"/>
  <c r="P367" i="2"/>
  <c r="E368" i="2"/>
  <c r="R367" i="2" l="1"/>
  <c r="V367" i="2" s="1"/>
  <c r="O368" i="2"/>
  <c r="H369" i="2"/>
  <c r="P368" i="2"/>
  <c r="E369" i="2"/>
  <c r="R368" i="2" l="1"/>
  <c r="V368" i="2" s="1"/>
  <c r="O369" i="2"/>
  <c r="H370" i="2"/>
  <c r="P369" i="2"/>
  <c r="E370" i="2"/>
  <c r="O370" i="2" l="1"/>
  <c r="H371" i="2"/>
  <c r="R369" i="2"/>
  <c r="V369" i="2" s="1"/>
  <c r="P370" i="2"/>
  <c r="E371" i="2"/>
  <c r="R370" i="2" l="1"/>
  <c r="V370" i="2" s="1"/>
  <c r="O371" i="2"/>
  <c r="H372" i="2"/>
  <c r="P371" i="2"/>
  <c r="E372" i="2"/>
  <c r="R371" i="2" l="1"/>
  <c r="V371" i="2" s="1"/>
  <c r="O372" i="2"/>
  <c r="H373" i="2"/>
  <c r="P372" i="2"/>
  <c r="E373" i="2"/>
  <c r="O373" i="2" l="1"/>
  <c r="H374" i="2"/>
  <c r="R372" i="2"/>
  <c r="V372" i="2" s="1"/>
  <c r="P373" i="2"/>
  <c r="E374" i="2"/>
  <c r="R373" i="2" l="1"/>
  <c r="V373" i="2" s="1"/>
  <c r="O374" i="2"/>
  <c r="H375" i="2"/>
  <c r="P374" i="2"/>
  <c r="E375" i="2"/>
  <c r="R374" i="2" l="1"/>
  <c r="V374" i="2" s="1"/>
  <c r="O375" i="2"/>
  <c r="H376" i="2"/>
  <c r="P375" i="2"/>
  <c r="E376" i="2"/>
  <c r="R375" i="2" l="1"/>
  <c r="V375" i="2" s="1"/>
  <c r="O376" i="2"/>
  <c r="H377" i="2"/>
  <c r="P376" i="2"/>
  <c r="E377" i="2"/>
  <c r="R376" i="2" l="1"/>
  <c r="V376" i="2" s="1"/>
  <c r="O377" i="2"/>
  <c r="H378" i="2"/>
  <c r="P377" i="2"/>
  <c r="E378" i="2"/>
  <c r="R377" i="2" l="1"/>
  <c r="V377" i="2" s="1"/>
  <c r="O378" i="2"/>
  <c r="H379" i="2"/>
  <c r="P378" i="2"/>
  <c r="E379" i="2"/>
  <c r="R378" i="2" l="1"/>
  <c r="V378" i="2" s="1"/>
  <c r="O379" i="2"/>
  <c r="H380" i="2"/>
  <c r="P379" i="2"/>
  <c r="E380" i="2"/>
  <c r="O380" i="2" l="1"/>
  <c r="H381" i="2"/>
  <c r="R379" i="2"/>
  <c r="V379" i="2" s="1"/>
  <c r="P380" i="2"/>
  <c r="E381" i="2"/>
  <c r="R380" i="2" l="1"/>
  <c r="V380" i="2" s="1"/>
  <c r="O381" i="2"/>
  <c r="H382" i="2"/>
  <c r="P381" i="2"/>
  <c r="E382" i="2"/>
  <c r="R381" i="2" l="1"/>
  <c r="V381" i="2" s="1"/>
  <c r="O382" i="2"/>
  <c r="H383" i="2"/>
  <c r="P382" i="2"/>
  <c r="E383" i="2"/>
  <c r="R382" i="2" l="1"/>
  <c r="V382" i="2" s="1"/>
  <c r="O383" i="2"/>
  <c r="H384" i="2"/>
  <c r="P383" i="2"/>
  <c r="E384" i="2"/>
  <c r="R383" i="2" l="1"/>
  <c r="V383" i="2" s="1"/>
  <c r="O384" i="2"/>
  <c r="H385" i="2"/>
  <c r="P384" i="2"/>
  <c r="E385" i="2"/>
  <c r="R384" i="2" l="1"/>
  <c r="V384" i="2" s="1"/>
  <c r="O385" i="2"/>
  <c r="H386" i="2"/>
  <c r="P385" i="2"/>
  <c r="E386" i="2"/>
  <c r="R385" i="2" l="1"/>
  <c r="V385" i="2" s="1"/>
  <c r="O386" i="2"/>
  <c r="H387" i="2"/>
  <c r="P386" i="2"/>
  <c r="E387" i="2"/>
  <c r="O387" i="2" l="1"/>
  <c r="H388" i="2"/>
  <c r="R386" i="2"/>
  <c r="V386" i="2" s="1"/>
  <c r="P387" i="2"/>
  <c r="E388" i="2"/>
  <c r="O388" i="2" l="1"/>
  <c r="H389" i="2"/>
  <c r="R387" i="2"/>
  <c r="V387" i="2" s="1"/>
  <c r="P388" i="2"/>
  <c r="E389" i="2"/>
  <c r="R388" i="2" l="1"/>
  <c r="V388" i="2" s="1"/>
  <c r="O389" i="2"/>
  <c r="H390" i="2"/>
  <c r="P389" i="2"/>
  <c r="E390" i="2"/>
  <c r="R389" i="2" l="1"/>
  <c r="V389" i="2" s="1"/>
  <c r="O390" i="2"/>
  <c r="H391" i="2"/>
  <c r="P390" i="2"/>
  <c r="E391" i="2"/>
  <c r="R390" i="2" l="1"/>
  <c r="V390" i="2" s="1"/>
  <c r="O391" i="2"/>
  <c r="H392" i="2"/>
  <c r="P391" i="2"/>
  <c r="E392" i="2"/>
  <c r="R391" i="2" l="1"/>
  <c r="V391" i="2" s="1"/>
  <c r="O392" i="2"/>
  <c r="H393" i="2"/>
  <c r="P392" i="2"/>
  <c r="E393" i="2"/>
  <c r="R392" i="2" l="1"/>
  <c r="V392" i="2" s="1"/>
  <c r="O393" i="2"/>
  <c r="H394" i="2"/>
  <c r="P393" i="2"/>
  <c r="E394" i="2"/>
  <c r="R393" i="2" l="1"/>
  <c r="V393" i="2" s="1"/>
  <c r="O394" i="2"/>
  <c r="H395" i="2"/>
  <c r="P394" i="2"/>
  <c r="E395" i="2"/>
  <c r="R394" i="2" l="1"/>
  <c r="V394" i="2" s="1"/>
  <c r="O395" i="2"/>
  <c r="H396" i="2"/>
  <c r="P395" i="2"/>
  <c r="E396" i="2"/>
  <c r="R395" i="2" l="1"/>
  <c r="V395" i="2" s="1"/>
  <c r="O396" i="2"/>
  <c r="H397" i="2"/>
  <c r="P396" i="2"/>
  <c r="E397" i="2"/>
  <c r="R396" i="2" l="1"/>
  <c r="V396" i="2" s="1"/>
  <c r="O397" i="2"/>
  <c r="H398" i="2"/>
  <c r="P397" i="2"/>
  <c r="E398" i="2"/>
  <c r="R397" i="2" l="1"/>
  <c r="V397" i="2" s="1"/>
  <c r="O398" i="2"/>
  <c r="H399" i="2"/>
  <c r="P398" i="2"/>
  <c r="E399" i="2"/>
  <c r="R398" i="2" l="1"/>
  <c r="V398" i="2" s="1"/>
  <c r="O399" i="2"/>
  <c r="H400" i="2"/>
  <c r="P399" i="2"/>
  <c r="E400" i="2"/>
  <c r="R399" i="2" l="1"/>
  <c r="V399" i="2" s="1"/>
  <c r="O400" i="2"/>
  <c r="H401" i="2"/>
  <c r="P400" i="2"/>
  <c r="E401" i="2"/>
  <c r="R400" i="2" l="1"/>
  <c r="V400" i="2" s="1"/>
  <c r="O401" i="2"/>
  <c r="H402" i="2"/>
  <c r="P401" i="2"/>
  <c r="E402" i="2"/>
  <c r="O402" i="2" l="1"/>
  <c r="H403" i="2"/>
  <c r="R401" i="2"/>
  <c r="V401" i="2" s="1"/>
  <c r="P402" i="2"/>
  <c r="E403" i="2"/>
  <c r="R402" i="2" l="1"/>
  <c r="V402" i="2" s="1"/>
  <c r="O403" i="2"/>
  <c r="H404" i="2"/>
  <c r="P403" i="2"/>
  <c r="E404" i="2"/>
  <c r="R403" i="2" l="1"/>
  <c r="V403" i="2" s="1"/>
  <c r="O404" i="2"/>
  <c r="H405" i="2"/>
  <c r="P404" i="2"/>
  <c r="E405" i="2"/>
  <c r="R404" i="2" l="1"/>
  <c r="V404" i="2" s="1"/>
  <c r="O405" i="2"/>
  <c r="H406" i="2"/>
  <c r="P405" i="2"/>
  <c r="E406" i="2"/>
  <c r="R405" i="2" l="1"/>
  <c r="V405" i="2" s="1"/>
  <c r="O406" i="2"/>
  <c r="H407" i="2"/>
  <c r="P406" i="2"/>
  <c r="E407" i="2"/>
  <c r="R406" i="2" l="1"/>
  <c r="V406" i="2" s="1"/>
  <c r="O407" i="2"/>
  <c r="H408" i="2"/>
  <c r="P407" i="2"/>
  <c r="E408" i="2"/>
  <c r="R407" i="2" l="1"/>
  <c r="V407" i="2" s="1"/>
  <c r="O408" i="2"/>
  <c r="H409" i="2"/>
  <c r="P408" i="2"/>
  <c r="E409" i="2"/>
  <c r="R408" i="2" l="1"/>
  <c r="V408" i="2" s="1"/>
  <c r="O409" i="2"/>
  <c r="H410" i="2"/>
  <c r="P409" i="2"/>
  <c r="E410" i="2"/>
  <c r="R409" i="2" l="1"/>
  <c r="V409" i="2" s="1"/>
  <c r="O410" i="2"/>
  <c r="H411" i="2"/>
  <c r="P410" i="2"/>
  <c r="E411" i="2"/>
  <c r="R410" i="2" l="1"/>
  <c r="V410" i="2" s="1"/>
  <c r="O411" i="2"/>
  <c r="H412" i="2"/>
  <c r="P411" i="2"/>
  <c r="E412" i="2"/>
  <c r="R411" i="2" l="1"/>
  <c r="V411" i="2" s="1"/>
  <c r="O412" i="2"/>
  <c r="H413" i="2"/>
  <c r="P412" i="2"/>
  <c r="E413" i="2"/>
  <c r="R412" i="2" l="1"/>
  <c r="V412" i="2" s="1"/>
  <c r="O413" i="2"/>
  <c r="H414" i="2"/>
  <c r="P413" i="2"/>
  <c r="E414" i="2"/>
  <c r="O414" i="2" l="1"/>
  <c r="H415" i="2"/>
  <c r="R413" i="2"/>
  <c r="V413" i="2" s="1"/>
  <c r="P414" i="2"/>
  <c r="E415" i="2"/>
  <c r="R414" i="2" l="1"/>
  <c r="V414" i="2" s="1"/>
  <c r="O415" i="2"/>
  <c r="H416" i="2"/>
  <c r="P415" i="2"/>
  <c r="E416" i="2"/>
  <c r="R415" i="2" l="1"/>
  <c r="V415" i="2" s="1"/>
  <c r="O416" i="2"/>
  <c r="H417" i="2"/>
  <c r="P416" i="2"/>
  <c r="E417" i="2"/>
  <c r="R416" i="2" l="1"/>
  <c r="V416" i="2" s="1"/>
  <c r="O417" i="2"/>
  <c r="H418" i="2"/>
  <c r="P417" i="2"/>
  <c r="E418" i="2"/>
  <c r="R417" i="2" l="1"/>
  <c r="V417" i="2" s="1"/>
  <c r="O418" i="2"/>
  <c r="H419" i="2"/>
  <c r="P418" i="2"/>
  <c r="E419" i="2"/>
  <c r="R418" i="2" l="1"/>
  <c r="V418" i="2" s="1"/>
  <c r="O419" i="2"/>
  <c r="H420" i="2"/>
  <c r="P419" i="2"/>
  <c r="E420" i="2"/>
  <c r="O420" i="2" l="1"/>
  <c r="H421" i="2"/>
  <c r="R419" i="2"/>
  <c r="V419" i="2" s="1"/>
  <c r="P420" i="2"/>
  <c r="E421" i="2"/>
  <c r="R420" i="2" l="1"/>
  <c r="V420" i="2" s="1"/>
  <c r="O421" i="2"/>
  <c r="H422" i="2"/>
  <c r="P421" i="2"/>
  <c r="E422" i="2"/>
  <c r="R421" i="2" l="1"/>
  <c r="V421" i="2" s="1"/>
  <c r="O422" i="2"/>
  <c r="H423" i="2"/>
  <c r="P422" i="2"/>
  <c r="E423" i="2"/>
  <c r="R422" i="2" l="1"/>
  <c r="V422" i="2" s="1"/>
  <c r="O423" i="2"/>
  <c r="H424" i="2"/>
  <c r="P423" i="2"/>
  <c r="E424" i="2"/>
  <c r="R423" i="2" l="1"/>
  <c r="V423" i="2" s="1"/>
  <c r="O424" i="2"/>
  <c r="H425" i="2"/>
  <c r="P424" i="2"/>
  <c r="E425" i="2"/>
  <c r="O425" i="2" l="1"/>
  <c r="H426" i="2"/>
  <c r="R424" i="2"/>
  <c r="V424" i="2" s="1"/>
  <c r="P425" i="2"/>
  <c r="E426" i="2"/>
  <c r="R425" i="2" l="1"/>
  <c r="V425" i="2" s="1"/>
  <c r="O426" i="2"/>
  <c r="H427" i="2"/>
  <c r="P426" i="2"/>
  <c r="E427" i="2"/>
  <c r="O427" i="2" l="1"/>
  <c r="H428" i="2"/>
  <c r="R426" i="2"/>
  <c r="V426" i="2" s="1"/>
  <c r="P427" i="2"/>
  <c r="E428" i="2"/>
  <c r="R427" i="2" l="1"/>
  <c r="V427" i="2" s="1"/>
  <c r="O428" i="2"/>
  <c r="H429" i="2"/>
  <c r="P428" i="2"/>
  <c r="E429" i="2"/>
  <c r="R428" i="2" l="1"/>
  <c r="V428" i="2" s="1"/>
  <c r="O429" i="2"/>
  <c r="H430" i="2"/>
  <c r="P429" i="2"/>
  <c r="E430" i="2"/>
  <c r="O430" i="2" l="1"/>
  <c r="H431" i="2"/>
  <c r="R429" i="2"/>
  <c r="V429" i="2" s="1"/>
  <c r="P430" i="2"/>
  <c r="E431" i="2"/>
  <c r="R430" i="2" l="1"/>
  <c r="V430" i="2" s="1"/>
  <c r="O431" i="2"/>
  <c r="H432" i="2"/>
  <c r="P431" i="2"/>
  <c r="E432" i="2"/>
  <c r="O432" i="2" l="1"/>
  <c r="H433" i="2"/>
  <c r="R431" i="2"/>
  <c r="V431" i="2" s="1"/>
  <c r="P432" i="2"/>
  <c r="E433" i="2"/>
  <c r="R432" i="2" l="1"/>
  <c r="V432" i="2" s="1"/>
  <c r="O433" i="2"/>
  <c r="H434" i="2"/>
  <c r="P433" i="2"/>
  <c r="E434" i="2"/>
  <c r="R433" i="2" l="1"/>
  <c r="V433" i="2" s="1"/>
  <c r="O434" i="2"/>
  <c r="H435" i="2"/>
  <c r="P434" i="2"/>
  <c r="E435" i="2"/>
  <c r="R434" i="2" l="1"/>
  <c r="V434" i="2" s="1"/>
  <c r="O435" i="2"/>
  <c r="H436" i="2"/>
  <c r="P435" i="2"/>
  <c r="E436" i="2"/>
  <c r="R435" i="2" l="1"/>
  <c r="V435" i="2" s="1"/>
  <c r="O436" i="2"/>
  <c r="H437" i="2"/>
  <c r="P436" i="2"/>
  <c r="E437" i="2"/>
  <c r="R436" i="2" l="1"/>
  <c r="V436" i="2" s="1"/>
  <c r="O437" i="2"/>
  <c r="H438" i="2"/>
  <c r="P437" i="2"/>
  <c r="E438" i="2"/>
  <c r="R437" i="2" l="1"/>
  <c r="V437" i="2" s="1"/>
  <c r="O438" i="2"/>
  <c r="H439" i="2"/>
  <c r="P438" i="2"/>
  <c r="E439" i="2"/>
  <c r="O439" i="2" l="1"/>
  <c r="H440" i="2"/>
  <c r="R438" i="2"/>
  <c r="V438" i="2" s="1"/>
  <c r="P439" i="2"/>
  <c r="E440" i="2"/>
  <c r="R439" i="2" l="1"/>
  <c r="V439" i="2" s="1"/>
  <c r="O440" i="2"/>
  <c r="H441" i="2"/>
  <c r="P440" i="2"/>
  <c r="E441" i="2"/>
  <c r="R440" i="2" l="1"/>
  <c r="V440" i="2" s="1"/>
  <c r="O441" i="2"/>
  <c r="H442" i="2"/>
  <c r="P441" i="2"/>
  <c r="E442" i="2"/>
  <c r="R441" i="2" l="1"/>
  <c r="V441" i="2" s="1"/>
  <c r="O442" i="2"/>
  <c r="H443" i="2"/>
  <c r="P442" i="2"/>
  <c r="E443" i="2"/>
  <c r="R442" i="2" l="1"/>
  <c r="V442" i="2" s="1"/>
  <c r="O443" i="2"/>
  <c r="H444" i="2"/>
  <c r="P443" i="2"/>
  <c r="E444" i="2"/>
  <c r="R443" i="2" l="1"/>
  <c r="V443" i="2" s="1"/>
  <c r="O444" i="2"/>
  <c r="H445" i="2"/>
  <c r="P444" i="2"/>
  <c r="E445" i="2"/>
  <c r="O445" i="2" l="1"/>
  <c r="H446" i="2"/>
  <c r="R444" i="2"/>
  <c r="V444" i="2" s="1"/>
  <c r="P445" i="2"/>
  <c r="E446" i="2"/>
  <c r="R445" i="2" l="1"/>
  <c r="V445" i="2" s="1"/>
  <c r="O446" i="2"/>
  <c r="H447" i="2"/>
  <c r="P446" i="2"/>
  <c r="E447" i="2"/>
  <c r="R446" i="2" l="1"/>
  <c r="V446" i="2" s="1"/>
  <c r="O447" i="2"/>
  <c r="H448" i="2"/>
  <c r="P447" i="2"/>
  <c r="E448" i="2"/>
  <c r="R447" i="2" l="1"/>
  <c r="V447" i="2" s="1"/>
  <c r="O448" i="2"/>
  <c r="H449" i="2"/>
  <c r="P448" i="2"/>
  <c r="E449" i="2"/>
  <c r="R448" i="2" l="1"/>
  <c r="V448" i="2" s="1"/>
  <c r="O449" i="2"/>
  <c r="H450" i="2"/>
  <c r="P449" i="2"/>
  <c r="E450" i="2"/>
  <c r="R449" i="2" l="1"/>
  <c r="V449" i="2" s="1"/>
  <c r="O450" i="2"/>
  <c r="H451" i="2"/>
  <c r="P450" i="2"/>
  <c r="E451" i="2"/>
  <c r="R450" i="2" l="1"/>
  <c r="V450" i="2" s="1"/>
  <c r="O451" i="2"/>
  <c r="H452" i="2"/>
  <c r="P451" i="2"/>
  <c r="E452" i="2"/>
  <c r="R451" i="2" l="1"/>
  <c r="V451" i="2" s="1"/>
  <c r="O452" i="2"/>
  <c r="H453" i="2"/>
  <c r="P452" i="2"/>
  <c r="E453" i="2"/>
  <c r="R452" i="2" l="1"/>
  <c r="V452" i="2" s="1"/>
  <c r="O453" i="2"/>
  <c r="H454" i="2"/>
  <c r="P453" i="2"/>
  <c r="E454" i="2"/>
  <c r="O454" i="2" l="1"/>
  <c r="H455" i="2"/>
  <c r="R453" i="2"/>
  <c r="V453" i="2" s="1"/>
  <c r="P454" i="2"/>
  <c r="E455" i="2"/>
  <c r="R454" i="2" l="1"/>
  <c r="V454" i="2" s="1"/>
  <c r="O455" i="2"/>
  <c r="H456" i="2"/>
  <c r="P455" i="2"/>
  <c r="E456" i="2"/>
  <c r="R455" i="2" l="1"/>
  <c r="V455" i="2" s="1"/>
  <c r="O456" i="2"/>
  <c r="H457" i="2"/>
  <c r="P456" i="2"/>
  <c r="E457" i="2"/>
  <c r="R456" i="2" l="1"/>
  <c r="V456" i="2" s="1"/>
  <c r="O457" i="2"/>
  <c r="H458" i="2"/>
  <c r="P457" i="2"/>
  <c r="E458" i="2"/>
  <c r="R457" i="2" l="1"/>
  <c r="V457" i="2" s="1"/>
  <c r="O458" i="2"/>
  <c r="H459" i="2"/>
  <c r="P458" i="2"/>
  <c r="E459" i="2"/>
  <c r="R458" i="2" l="1"/>
  <c r="V458" i="2" s="1"/>
  <c r="O459" i="2"/>
  <c r="H460" i="2"/>
  <c r="P459" i="2"/>
  <c r="E460" i="2"/>
  <c r="O460" i="2" l="1"/>
  <c r="H461" i="2"/>
  <c r="R459" i="2"/>
  <c r="V459" i="2" s="1"/>
  <c r="P460" i="2"/>
  <c r="E461" i="2"/>
  <c r="R460" i="2" l="1"/>
  <c r="V460" i="2" s="1"/>
  <c r="O461" i="2"/>
  <c r="H462" i="2"/>
  <c r="P461" i="2"/>
  <c r="E462" i="2"/>
  <c r="R461" i="2" l="1"/>
  <c r="V461" i="2" s="1"/>
  <c r="O462" i="2"/>
  <c r="H463" i="2"/>
  <c r="P462" i="2"/>
  <c r="E463" i="2"/>
  <c r="R462" i="2" l="1"/>
  <c r="V462" i="2" s="1"/>
  <c r="O463" i="2"/>
  <c r="H464" i="2"/>
  <c r="P463" i="2"/>
  <c r="E464" i="2"/>
  <c r="R463" i="2" l="1"/>
  <c r="V463" i="2" s="1"/>
  <c r="O464" i="2"/>
  <c r="H465" i="2"/>
  <c r="P464" i="2"/>
  <c r="E465" i="2"/>
  <c r="R464" i="2" l="1"/>
  <c r="V464" i="2" s="1"/>
  <c r="O465" i="2"/>
  <c r="H466" i="2"/>
  <c r="P465" i="2"/>
  <c r="E466" i="2"/>
  <c r="O466" i="2" l="1"/>
  <c r="H467" i="2"/>
  <c r="R465" i="2"/>
  <c r="V465" i="2" s="1"/>
  <c r="P466" i="2"/>
  <c r="E467" i="2"/>
  <c r="R466" i="2" l="1"/>
  <c r="V466" i="2" s="1"/>
  <c r="O467" i="2"/>
  <c r="H468" i="2"/>
  <c r="P467" i="2"/>
  <c r="E468" i="2"/>
  <c r="R467" i="2" l="1"/>
  <c r="V467" i="2" s="1"/>
  <c r="O468" i="2"/>
  <c r="H469" i="2"/>
  <c r="P468" i="2"/>
  <c r="E469" i="2"/>
  <c r="R468" i="2" l="1"/>
  <c r="V468" i="2" s="1"/>
  <c r="O469" i="2"/>
  <c r="H470" i="2"/>
  <c r="P469" i="2"/>
  <c r="E470" i="2"/>
  <c r="R469" i="2" l="1"/>
  <c r="V469" i="2" s="1"/>
  <c r="O470" i="2"/>
  <c r="H471" i="2"/>
  <c r="P470" i="2"/>
  <c r="E471" i="2"/>
  <c r="O471" i="2" l="1"/>
  <c r="H472" i="2"/>
  <c r="R470" i="2"/>
  <c r="V470" i="2" s="1"/>
  <c r="P471" i="2"/>
  <c r="E472" i="2"/>
  <c r="R471" i="2" l="1"/>
  <c r="V471" i="2" s="1"/>
  <c r="O472" i="2"/>
  <c r="H473" i="2"/>
  <c r="P472" i="2"/>
  <c r="E473" i="2"/>
  <c r="R472" i="2" l="1"/>
  <c r="V472" i="2" s="1"/>
  <c r="O473" i="2"/>
  <c r="H474" i="2"/>
  <c r="P473" i="2"/>
  <c r="E474" i="2"/>
  <c r="O474" i="2" l="1"/>
  <c r="H475" i="2"/>
  <c r="R473" i="2"/>
  <c r="V473" i="2" s="1"/>
  <c r="P474" i="2"/>
  <c r="E475" i="2"/>
  <c r="R474" i="2" l="1"/>
  <c r="V474" i="2" s="1"/>
  <c r="O475" i="2"/>
  <c r="H476" i="2"/>
  <c r="P475" i="2"/>
  <c r="E476" i="2"/>
  <c r="R475" i="2" l="1"/>
  <c r="V475" i="2" s="1"/>
  <c r="O476" i="2"/>
  <c r="H477" i="2"/>
  <c r="P476" i="2"/>
  <c r="E477" i="2"/>
  <c r="R476" i="2" l="1"/>
  <c r="V476" i="2" s="1"/>
  <c r="O477" i="2"/>
  <c r="H478" i="2"/>
  <c r="P477" i="2"/>
  <c r="E478" i="2"/>
  <c r="R477" i="2" l="1"/>
  <c r="V477" i="2" s="1"/>
  <c r="O478" i="2"/>
  <c r="H479" i="2"/>
  <c r="P478" i="2"/>
  <c r="E479" i="2"/>
  <c r="R478" i="2" l="1"/>
  <c r="V478" i="2" s="1"/>
  <c r="O479" i="2"/>
  <c r="H480" i="2"/>
  <c r="P479" i="2"/>
  <c r="E480" i="2"/>
  <c r="R479" i="2" l="1"/>
  <c r="V479" i="2" s="1"/>
  <c r="O480" i="2"/>
  <c r="H481" i="2"/>
  <c r="P480" i="2"/>
  <c r="E481" i="2"/>
  <c r="O481" i="2" l="1"/>
  <c r="H482" i="2"/>
  <c r="O482" i="2" s="1"/>
  <c r="H1" i="2"/>
  <c r="R480" i="2"/>
  <c r="V480" i="2" s="1"/>
  <c r="P481" i="2"/>
  <c r="E482" i="2"/>
  <c r="E1" i="2" s="1" a="1"/>
  <c r="E1" i="2" s="1"/>
  <c r="R481" i="2" l="1"/>
  <c r="V481" i="2" s="1"/>
  <c r="P482" i="2"/>
  <c r="R482" i="2" l="1"/>
  <c r="R1" i="2" s="1"/>
  <c r="V482" i="2" l="1"/>
  <c r="V1" i="2" s="1"/>
  <c r="Z4" i="2" l="1"/>
  <c r="AE4" i="2" s="1"/>
  <c r="S5" i="2" l="1"/>
  <c r="W5" i="2" s="1"/>
  <c r="Y5" i="2" s="1"/>
  <c r="AB5" i="2" s="1"/>
  <c r="AA5" i="2" l="1"/>
  <c r="X6" i="2"/>
  <c r="AC5" i="2"/>
  <c r="Z5" i="2" l="1"/>
  <c r="AE5" i="2" s="1"/>
  <c r="S6" i="2" l="1"/>
  <c r="W6" i="2" l="1"/>
  <c r="AC6" i="2" l="1"/>
  <c r="Y6" i="2"/>
  <c r="AB6" i="2" s="1"/>
  <c r="X7" i="2" l="1"/>
  <c r="AA6" i="2"/>
  <c r="Z6" i="2"/>
  <c r="AE6" i="2" s="1"/>
  <c r="S7" i="2" l="1"/>
  <c r="W7" i="2" l="1"/>
  <c r="Y7" i="2" l="1"/>
  <c r="AB7" i="2" s="1"/>
  <c r="AC7" i="2"/>
  <c r="X8" i="2" l="1"/>
  <c r="AA7" i="2"/>
  <c r="Z7" i="2"/>
  <c r="AE7" i="2" s="1"/>
  <c r="S8" i="2" l="1"/>
  <c r="W8" i="2" s="1"/>
  <c r="AC8" i="2" l="1"/>
  <c r="Y8" i="2"/>
  <c r="AB8" i="2" s="1"/>
  <c r="X9" i="2" l="1"/>
  <c r="AA8" i="2"/>
  <c r="Z8" i="2"/>
  <c r="AE8" i="2" s="1"/>
  <c r="S9" i="2" l="1"/>
  <c r="W9" i="2" s="1"/>
  <c r="Y9" i="2" l="1"/>
  <c r="AB9" i="2" s="1"/>
  <c r="AC9" i="2"/>
  <c r="X10" i="2" l="1"/>
  <c r="AA9" i="2"/>
  <c r="Z9" i="2"/>
  <c r="AE9" i="2" s="1"/>
  <c r="S10" i="2" l="1"/>
  <c r="W10" i="2" s="1"/>
  <c r="AC10" i="2" l="1"/>
  <c r="Y10" i="2"/>
  <c r="AB10" i="2" s="1"/>
  <c r="X11" i="2" l="1"/>
  <c r="AA10" i="2"/>
  <c r="Z10" i="2"/>
  <c r="AE10" i="2" s="1"/>
  <c r="S11" i="2" l="1"/>
  <c r="W11" i="2" s="1"/>
  <c r="AC11" i="2" l="1"/>
  <c r="Y11" i="2"/>
  <c r="AB11" i="2" s="1"/>
  <c r="X12" i="2" l="1"/>
  <c r="AA11" i="2"/>
  <c r="Z11" i="2"/>
  <c r="AE11" i="2" s="1"/>
  <c r="S12" i="2" l="1"/>
  <c r="W12" i="2" s="1"/>
  <c r="AC12" i="2" l="1"/>
  <c r="Y12" i="2"/>
  <c r="AB12" i="2" s="1"/>
  <c r="X13" i="2" l="1"/>
  <c r="AA12" i="2"/>
  <c r="Z12" i="2"/>
  <c r="AE12" i="2" s="1"/>
  <c r="S13" i="2" l="1"/>
  <c r="W13" i="2" s="1"/>
  <c r="AC13" i="2" l="1"/>
  <c r="Y13" i="2"/>
  <c r="AB13" i="2" s="1"/>
  <c r="X14" i="2" l="1"/>
  <c r="AA13" i="2"/>
  <c r="Z13" i="2"/>
  <c r="AE13" i="2" s="1"/>
  <c r="S14" i="2" l="1"/>
  <c r="W14" i="2" s="1"/>
  <c r="Y14" i="2" l="1"/>
  <c r="AB14" i="2" s="1"/>
  <c r="AC14" i="2"/>
  <c r="X15" i="2" l="1"/>
  <c r="AA14" i="2"/>
  <c r="Z14" i="2"/>
  <c r="AE14" i="2" s="1"/>
  <c r="S15" i="2" l="1"/>
  <c r="W15" i="2" s="1"/>
  <c r="AC15" i="2" l="1"/>
  <c r="Y15" i="2"/>
  <c r="AB15" i="2" s="1"/>
  <c r="X16" i="2" l="1"/>
  <c r="AA15" i="2"/>
  <c r="Z15" i="2"/>
  <c r="AE15" i="2" s="1"/>
  <c r="S16" i="2" l="1"/>
  <c r="W16" i="2" s="1"/>
  <c r="Y16" i="2" l="1"/>
  <c r="AB16" i="2" s="1"/>
  <c r="AC16" i="2"/>
  <c r="X17" i="2" l="1"/>
  <c r="AA16" i="2"/>
  <c r="Z16" i="2"/>
  <c r="AE16" i="2" s="1"/>
  <c r="S17" i="2" l="1"/>
  <c r="W17" i="2" s="1"/>
  <c r="Y17" i="2" l="1"/>
  <c r="AB17" i="2" s="1"/>
  <c r="AC17" i="2"/>
  <c r="X18" i="2" l="1"/>
  <c r="AA17" i="2"/>
  <c r="Z17" i="2"/>
  <c r="AE17" i="2" s="1"/>
  <c r="S18" i="2" l="1"/>
  <c r="W18" i="2" s="1"/>
  <c r="Y18" i="2" l="1"/>
  <c r="AB18" i="2" s="1"/>
  <c r="AC18" i="2"/>
  <c r="X19" i="2" l="1"/>
  <c r="AA18" i="2"/>
  <c r="Z18" i="2"/>
  <c r="AE18" i="2" s="1"/>
  <c r="S19" i="2" l="1"/>
  <c r="W19" i="2" s="1"/>
  <c r="Y19" i="2" l="1"/>
  <c r="AB19" i="2" s="1"/>
  <c r="AC19" i="2"/>
  <c r="X20" i="2" l="1"/>
  <c r="AA19" i="2"/>
  <c r="Z19" i="2"/>
  <c r="AE19" i="2" s="1"/>
  <c r="S20" i="2" l="1"/>
  <c r="W20" i="2" s="1"/>
  <c r="Y20" i="2" l="1"/>
  <c r="AB20" i="2" s="1"/>
  <c r="AC20" i="2"/>
  <c r="X21" i="2" l="1"/>
  <c r="AA20" i="2"/>
  <c r="Z20" i="2"/>
  <c r="AE20" i="2" s="1"/>
  <c r="S21" i="2" l="1"/>
  <c r="W21" i="2" s="1"/>
  <c r="AC21" i="2" l="1"/>
  <c r="Y21" i="2"/>
  <c r="AB21" i="2" s="1"/>
  <c r="X22" i="2" l="1"/>
  <c r="AA21" i="2"/>
  <c r="Z21" i="2"/>
  <c r="AE21" i="2" s="1"/>
  <c r="S22" i="2" l="1"/>
  <c r="W22" i="2" s="1"/>
  <c r="Y22" i="2" l="1"/>
  <c r="AB22" i="2" s="1"/>
  <c r="AC22" i="2"/>
  <c r="X23" i="2" l="1"/>
  <c r="AA22" i="2"/>
  <c r="Z22" i="2"/>
  <c r="AE22" i="2" s="1"/>
  <c r="S23" i="2" l="1"/>
  <c r="W23" i="2" s="1"/>
  <c r="Y23" i="2" l="1"/>
  <c r="AB23" i="2" s="1"/>
  <c r="AC23" i="2"/>
  <c r="X24" i="2" l="1"/>
  <c r="AA23" i="2"/>
  <c r="Z23" i="2"/>
  <c r="AE23" i="2" s="1"/>
  <c r="S24" i="2" l="1"/>
  <c r="W24" i="2" s="1"/>
  <c r="Y24" i="2" l="1"/>
  <c r="AB24" i="2" s="1"/>
  <c r="AC24" i="2"/>
  <c r="X25" i="2" l="1"/>
  <c r="AA24" i="2"/>
  <c r="Z24" i="2"/>
  <c r="AE24" i="2" s="1"/>
  <c r="S25" i="2" l="1"/>
  <c r="W25" i="2" s="1"/>
  <c r="Y25" i="2" l="1"/>
  <c r="AB25" i="2" s="1"/>
  <c r="AC25" i="2"/>
  <c r="X26" i="2" l="1"/>
  <c r="AA25" i="2"/>
  <c r="Z25" i="2"/>
  <c r="AE25" i="2" s="1"/>
  <c r="S26" i="2" l="1"/>
  <c r="W26" i="2" s="1"/>
  <c r="Y26" i="2" l="1"/>
  <c r="AB26" i="2" s="1"/>
  <c r="AC26" i="2"/>
  <c r="X27" i="2" l="1"/>
  <c r="AA26" i="2"/>
  <c r="Z26" i="2"/>
  <c r="AE26" i="2" s="1"/>
  <c r="S27" i="2" l="1"/>
  <c r="W27" i="2" s="1"/>
  <c r="AC27" i="2" l="1"/>
  <c r="Y27" i="2"/>
  <c r="AB27" i="2" s="1"/>
  <c r="X28" i="2" l="1"/>
  <c r="AA27" i="2"/>
  <c r="Z27" i="2"/>
  <c r="AE27" i="2" s="1"/>
  <c r="S28" i="2" l="1"/>
  <c r="W28" i="2" s="1"/>
  <c r="AC28" i="2" l="1"/>
  <c r="Y28" i="2"/>
  <c r="AB28" i="2" s="1"/>
  <c r="X29" i="2" l="1"/>
  <c r="AA28" i="2"/>
  <c r="Z28" i="2"/>
  <c r="AE28" i="2" s="1"/>
  <c r="S29" i="2" l="1"/>
  <c r="W29" i="2" s="1"/>
  <c r="AC29" i="2" l="1"/>
  <c r="Y29" i="2"/>
  <c r="AB29" i="2" s="1"/>
  <c r="X30" i="2" l="1"/>
  <c r="AA29" i="2"/>
  <c r="Z29" i="2"/>
  <c r="AE29" i="2" s="1"/>
  <c r="S30" i="2" l="1"/>
  <c r="W30" i="2" s="1"/>
  <c r="AC30" i="2" l="1"/>
  <c r="Y30" i="2"/>
  <c r="AB30" i="2" s="1"/>
  <c r="X31" i="2" l="1"/>
  <c r="AA30" i="2"/>
  <c r="Z30" i="2"/>
  <c r="AE30" i="2" s="1"/>
  <c r="S31" i="2" l="1"/>
  <c r="W31" i="2" s="1"/>
  <c r="AC31" i="2" l="1"/>
  <c r="Y31" i="2"/>
  <c r="AB31" i="2" s="1"/>
  <c r="X32" i="2" l="1"/>
  <c r="AA31" i="2"/>
  <c r="Z31" i="2"/>
  <c r="AE31" i="2" s="1"/>
  <c r="S32" i="2" l="1"/>
  <c r="W32" i="2" s="1"/>
  <c r="AC32" i="2" l="1"/>
  <c r="Y32" i="2"/>
  <c r="AB32" i="2" s="1"/>
  <c r="X33" i="2" l="1"/>
  <c r="AA32" i="2"/>
  <c r="Z32" i="2"/>
  <c r="AE32" i="2" s="1"/>
  <c r="S33" i="2" l="1"/>
  <c r="W33" i="2" s="1"/>
  <c r="Y33" i="2" l="1"/>
  <c r="AB33" i="2" s="1"/>
  <c r="AC33" i="2"/>
  <c r="X34" i="2" l="1"/>
  <c r="AA33" i="2"/>
  <c r="Z33" i="2"/>
  <c r="AE33" i="2" s="1"/>
  <c r="S34" i="2" l="1"/>
  <c r="W34" i="2" s="1"/>
  <c r="AC34" i="2" l="1"/>
  <c r="Y34" i="2"/>
  <c r="AB34" i="2" s="1"/>
  <c r="X35" i="2" l="1"/>
  <c r="AA34" i="2"/>
  <c r="Z34" i="2"/>
  <c r="AE34" i="2" s="1"/>
  <c r="S35" i="2" l="1"/>
  <c r="W35" i="2" s="1"/>
  <c r="AC35" i="2" l="1"/>
  <c r="Y35" i="2"/>
  <c r="AB35" i="2" s="1"/>
  <c r="X36" i="2" l="1"/>
  <c r="AA35" i="2"/>
  <c r="Z35" i="2"/>
  <c r="AE35" i="2" s="1"/>
  <c r="S36" i="2" l="1"/>
  <c r="W36" i="2" s="1"/>
  <c r="Y36" i="2" l="1"/>
  <c r="AB36" i="2" s="1"/>
  <c r="AC36" i="2"/>
  <c r="X37" i="2" l="1"/>
  <c r="AA36" i="2"/>
  <c r="Z36" i="2"/>
  <c r="AE36" i="2" s="1"/>
  <c r="S37" i="2" l="1"/>
  <c r="W37" i="2" s="1"/>
  <c r="AC37" i="2" l="1"/>
  <c r="Y37" i="2"/>
  <c r="AB37" i="2" s="1"/>
  <c r="X38" i="2" l="1"/>
  <c r="AA37" i="2"/>
  <c r="Z37" i="2"/>
  <c r="AE37" i="2" s="1"/>
  <c r="S38" i="2" l="1"/>
  <c r="W38" i="2" s="1"/>
  <c r="Y38" i="2" l="1"/>
  <c r="AB38" i="2" s="1"/>
  <c r="AC38" i="2"/>
  <c r="X39" i="2" l="1"/>
  <c r="AA38" i="2"/>
  <c r="Z38" i="2"/>
  <c r="AE38" i="2" s="1"/>
  <c r="S39" i="2" l="1"/>
  <c r="W39" i="2" s="1"/>
  <c r="AC39" i="2" l="1"/>
  <c r="Y39" i="2"/>
  <c r="AB39" i="2" s="1"/>
  <c r="X40" i="2" l="1"/>
  <c r="AA39" i="2"/>
  <c r="Z39" i="2"/>
  <c r="AE39" i="2" s="1"/>
  <c r="S40" i="2" l="1"/>
  <c r="W40" i="2" s="1"/>
  <c r="AC40" i="2" l="1"/>
  <c r="Y40" i="2"/>
  <c r="AB40" i="2" s="1"/>
  <c r="X41" i="2" l="1"/>
  <c r="AA40" i="2"/>
  <c r="Z40" i="2"/>
  <c r="AE40" i="2" s="1"/>
  <c r="S41" i="2" l="1"/>
  <c r="W41" i="2" s="1"/>
  <c r="Y41" i="2" l="1"/>
  <c r="AB41" i="2" s="1"/>
  <c r="AC41" i="2"/>
  <c r="X42" i="2" l="1"/>
  <c r="AA41" i="2"/>
  <c r="Z41" i="2"/>
  <c r="AE41" i="2" s="1"/>
  <c r="S42" i="2" l="1"/>
  <c r="W42" i="2" s="1"/>
  <c r="Y42" i="2" l="1"/>
  <c r="AB42" i="2" s="1"/>
  <c r="AC42" i="2"/>
  <c r="X43" i="2" l="1"/>
  <c r="AA42" i="2"/>
  <c r="Z42" i="2"/>
  <c r="AE42" i="2" s="1"/>
  <c r="S43" i="2" l="1"/>
  <c r="W43" i="2" s="1"/>
  <c r="Y43" i="2" l="1"/>
  <c r="AB43" i="2" s="1"/>
  <c r="AC43" i="2"/>
  <c r="X44" i="2" l="1"/>
  <c r="AA43" i="2"/>
  <c r="Z43" i="2"/>
  <c r="AE43" i="2" s="1"/>
  <c r="S44" i="2" l="1"/>
  <c r="W44" i="2" s="1"/>
  <c r="AC44" i="2" l="1"/>
  <c r="Y44" i="2"/>
  <c r="AB44" i="2" s="1"/>
  <c r="X45" i="2" l="1"/>
  <c r="AA44" i="2"/>
  <c r="Z44" i="2"/>
  <c r="AE44" i="2" s="1"/>
  <c r="S45" i="2" l="1"/>
  <c r="W45" i="2" s="1"/>
  <c r="Y45" i="2" l="1"/>
  <c r="AB45" i="2" s="1"/>
  <c r="AC45" i="2"/>
  <c r="X46" i="2" l="1"/>
  <c r="AA45" i="2"/>
  <c r="Z45" i="2"/>
  <c r="AE45" i="2" s="1"/>
  <c r="S46" i="2" l="1"/>
  <c r="W46" i="2" s="1"/>
  <c r="Y46" i="2" l="1"/>
  <c r="AB46" i="2" s="1"/>
  <c r="AC46" i="2"/>
  <c r="X47" i="2" l="1"/>
  <c r="AA46" i="2"/>
  <c r="Z46" i="2"/>
  <c r="AE46" i="2" s="1"/>
  <c r="S47" i="2" l="1"/>
  <c r="W47" i="2" s="1"/>
  <c r="Y47" i="2" l="1"/>
  <c r="AB47" i="2" s="1"/>
  <c r="AC47" i="2"/>
  <c r="X48" i="2" l="1"/>
  <c r="AA47" i="2"/>
  <c r="Z47" i="2"/>
  <c r="AE47" i="2" s="1"/>
  <c r="S48" i="2" l="1"/>
  <c r="W48" i="2" s="1"/>
  <c r="Y48" i="2" l="1"/>
  <c r="AB48" i="2" s="1"/>
  <c r="AC48" i="2"/>
  <c r="X49" i="2" l="1"/>
  <c r="AA48" i="2"/>
  <c r="Z48" i="2"/>
  <c r="AE48" i="2" s="1"/>
  <c r="S49" i="2" l="1"/>
  <c r="W49" i="2" s="1"/>
  <c r="AC49" i="2" l="1"/>
  <c r="Y49" i="2"/>
  <c r="AB49" i="2" s="1"/>
  <c r="X50" i="2" l="1"/>
  <c r="AA49" i="2"/>
  <c r="Z49" i="2"/>
  <c r="AE49" i="2" s="1"/>
  <c r="S50" i="2" l="1"/>
  <c r="W50" i="2" s="1"/>
  <c r="Y50" i="2" l="1"/>
  <c r="AB50" i="2" s="1"/>
  <c r="AC50" i="2"/>
  <c r="X51" i="2" l="1"/>
  <c r="AA50" i="2"/>
  <c r="Z50" i="2"/>
  <c r="AE50" i="2" s="1"/>
  <c r="S51" i="2" l="1"/>
  <c r="W51" i="2" s="1"/>
  <c r="Y51" i="2" l="1"/>
  <c r="AB51" i="2" s="1"/>
  <c r="AC51" i="2"/>
  <c r="X52" i="2" l="1"/>
  <c r="AA51" i="2"/>
  <c r="Z51" i="2"/>
  <c r="AE51" i="2" s="1"/>
  <c r="S52" i="2" l="1"/>
  <c r="W52" i="2" s="1"/>
  <c r="Y52" i="2" l="1"/>
  <c r="AB52" i="2" s="1"/>
  <c r="AC52" i="2"/>
  <c r="X53" i="2" l="1"/>
  <c r="AA52" i="2"/>
  <c r="Z52" i="2"/>
  <c r="AE52" i="2" s="1"/>
  <c r="S53" i="2" l="1"/>
  <c r="W53" i="2" s="1"/>
  <c r="AC53" i="2" l="1"/>
  <c r="Y53" i="2"/>
  <c r="AB53" i="2" s="1"/>
  <c r="X54" i="2" l="1"/>
  <c r="AA53" i="2"/>
  <c r="Z53" i="2"/>
  <c r="AE53" i="2" s="1"/>
  <c r="S54" i="2" l="1"/>
  <c r="W54" i="2" s="1"/>
  <c r="Y54" i="2" l="1"/>
  <c r="AB54" i="2" s="1"/>
  <c r="AC54" i="2"/>
  <c r="X55" i="2" l="1"/>
  <c r="AA54" i="2"/>
  <c r="Z54" i="2"/>
  <c r="AE54" i="2" s="1"/>
  <c r="S55" i="2" l="1"/>
  <c r="W55" i="2" s="1"/>
  <c r="AC55" i="2" l="1"/>
  <c r="Y55" i="2"/>
  <c r="AB55" i="2" s="1"/>
  <c r="X56" i="2" l="1"/>
  <c r="AA55" i="2"/>
  <c r="Z55" i="2"/>
  <c r="AE55" i="2" s="1"/>
  <c r="S56" i="2" l="1"/>
  <c r="W56" i="2" s="1"/>
  <c r="Y56" i="2" l="1"/>
  <c r="AB56" i="2" s="1"/>
  <c r="AC56" i="2"/>
  <c r="X57" i="2" l="1"/>
  <c r="AA56" i="2"/>
  <c r="Z56" i="2"/>
  <c r="AE56" i="2" s="1"/>
  <c r="S57" i="2" l="1"/>
  <c r="W57" i="2" s="1"/>
  <c r="AC57" i="2" l="1"/>
  <c r="Y57" i="2"/>
  <c r="AB57" i="2" s="1"/>
  <c r="X58" i="2" l="1"/>
  <c r="AA57" i="2"/>
  <c r="Z57" i="2"/>
  <c r="AE57" i="2" s="1"/>
  <c r="S58" i="2" l="1"/>
  <c r="W58" i="2" s="1"/>
  <c r="Y58" i="2" l="1"/>
  <c r="AB58" i="2" s="1"/>
  <c r="AC58" i="2"/>
  <c r="X59" i="2" l="1"/>
  <c r="AA58" i="2"/>
  <c r="Z58" i="2"/>
  <c r="AE58" i="2" s="1"/>
  <c r="S59" i="2" l="1"/>
  <c r="W59" i="2" s="1"/>
  <c r="AC59" i="2" l="1"/>
  <c r="Y59" i="2"/>
  <c r="AB59" i="2" s="1"/>
  <c r="X60" i="2" l="1"/>
  <c r="AA59" i="2"/>
  <c r="Z59" i="2"/>
  <c r="AE59" i="2" s="1"/>
  <c r="S60" i="2" l="1"/>
  <c r="W60" i="2" s="1"/>
  <c r="AC60" i="2" l="1"/>
  <c r="Y60" i="2"/>
  <c r="AB60" i="2" s="1"/>
  <c r="X61" i="2" l="1"/>
  <c r="AA60" i="2"/>
  <c r="Z60" i="2"/>
  <c r="AE60" i="2" s="1"/>
  <c r="S61" i="2" l="1"/>
  <c r="W61" i="2" s="1"/>
  <c r="AC61" i="2" l="1"/>
  <c r="Y61" i="2"/>
  <c r="AB61" i="2" s="1"/>
  <c r="X62" i="2" l="1"/>
  <c r="AA61" i="2"/>
  <c r="Z61" i="2"/>
  <c r="AE61" i="2" s="1"/>
  <c r="S62" i="2" l="1"/>
  <c r="W62" i="2" s="1"/>
  <c r="AC62" i="2" l="1"/>
  <c r="Y62" i="2"/>
  <c r="AB62" i="2" s="1"/>
  <c r="X63" i="2" l="1"/>
  <c r="AA62" i="2"/>
  <c r="Z62" i="2"/>
  <c r="AE62" i="2" s="1"/>
  <c r="S63" i="2" l="1"/>
  <c r="W63" i="2" s="1"/>
  <c r="Y63" i="2" l="1"/>
  <c r="AB63" i="2" s="1"/>
  <c r="AC63" i="2"/>
  <c r="X64" i="2" l="1"/>
  <c r="AA63" i="2"/>
  <c r="Z63" i="2"/>
  <c r="AE63" i="2" s="1"/>
  <c r="S64" i="2" l="1"/>
  <c r="W64" i="2" s="1"/>
  <c r="Y64" i="2" l="1"/>
  <c r="AB64" i="2" s="1"/>
  <c r="AC64" i="2"/>
  <c r="X65" i="2" l="1"/>
  <c r="AA64" i="2"/>
  <c r="Z64" i="2"/>
  <c r="AE64" i="2" s="1"/>
  <c r="S65" i="2" l="1"/>
  <c r="W65" i="2" s="1"/>
  <c r="AC65" i="2" l="1"/>
  <c r="Y65" i="2"/>
  <c r="AB65" i="2" s="1"/>
  <c r="X66" i="2" l="1"/>
  <c r="AA65" i="2"/>
  <c r="Z65" i="2"/>
  <c r="AE65" i="2" s="1"/>
  <c r="S66" i="2" l="1"/>
  <c r="W66" i="2" s="1"/>
  <c r="Y66" i="2" l="1"/>
  <c r="AB66" i="2" s="1"/>
  <c r="AC66" i="2"/>
  <c r="X67" i="2" l="1"/>
  <c r="AA66" i="2"/>
  <c r="Z66" i="2"/>
  <c r="AE66" i="2" s="1"/>
  <c r="S67" i="2" l="1"/>
  <c r="W67" i="2" s="1"/>
  <c r="AC67" i="2" l="1"/>
  <c r="Y67" i="2"/>
  <c r="AB67" i="2" s="1"/>
  <c r="X68" i="2" l="1"/>
  <c r="AA67" i="2"/>
  <c r="Z67" i="2"/>
  <c r="AE67" i="2" s="1"/>
  <c r="S68" i="2" l="1"/>
  <c r="W68" i="2" s="1"/>
  <c r="Y68" i="2" l="1"/>
  <c r="AB68" i="2" s="1"/>
  <c r="AC68" i="2"/>
  <c r="X69" i="2" l="1"/>
  <c r="AA68" i="2"/>
  <c r="Z68" i="2"/>
  <c r="AE68" i="2" s="1"/>
  <c r="S69" i="2" l="1"/>
  <c r="W69" i="2" s="1"/>
  <c r="Y69" i="2" l="1"/>
  <c r="AB69" i="2" s="1"/>
  <c r="AC69" i="2"/>
  <c r="X70" i="2" l="1"/>
  <c r="AA69" i="2"/>
  <c r="Z69" i="2"/>
  <c r="AE69" i="2" s="1"/>
  <c r="S70" i="2" l="1"/>
  <c r="W70" i="2" s="1"/>
  <c r="AC70" i="2" l="1"/>
  <c r="Y70" i="2"/>
  <c r="AB70" i="2" s="1"/>
  <c r="X71" i="2" l="1"/>
  <c r="AA70" i="2"/>
  <c r="Z70" i="2"/>
  <c r="AE70" i="2" s="1"/>
  <c r="S71" i="2" l="1"/>
  <c r="W71" i="2" s="1"/>
  <c r="AC71" i="2" l="1"/>
  <c r="Y71" i="2"/>
  <c r="AB71" i="2" s="1"/>
  <c r="X72" i="2" l="1"/>
  <c r="AA71" i="2"/>
  <c r="Z71" i="2"/>
  <c r="AE71" i="2" s="1"/>
  <c r="S72" i="2" l="1"/>
  <c r="W72" i="2" s="1"/>
  <c r="AC72" i="2" l="1"/>
  <c r="Y72" i="2"/>
  <c r="AB72" i="2" s="1"/>
  <c r="X73" i="2" l="1"/>
  <c r="AA72" i="2"/>
  <c r="Z72" i="2"/>
  <c r="AE72" i="2" s="1"/>
  <c r="S73" i="2" l="1"/>
  <c r="W73" i="2" s="1"/>
  <c r="Y73" i="2" l="1"/>
  <c r="AB73" i="2" s="1"/>
  <c r="AC73" i="2"/>
  <c r="X74" i="2" l="1"/>
  <c r="AA73" i="2"/>
  <c r="Z73" i="2"/>
  <c r="AE73" i="2" s="1"/>
  <c r="S74" i="2" l="1"/>
  <c r="W74" i="2" s="1"/>
  <c r="Y74" i="2" l="1"/>
  <c r="AB74" i="2" s="1"/>
  <c r="AC74" i="2"/>
  <c r="X75" i="2" l="1"/>
  <c r="AA74" i="2"/>
  <c r="Z74" i="2"/>
  <c r="AE74" i="2" s="1"/>
  <c r="S75" i="2" l="1"/>
  <c r="W75" i="2" s="1"/>
  <c r="AC75" i="2" l="1"/>
  <c r="Y75" i="2"/>
  <c r="AB75" i="2" s="1"/>
  <c r="X76" i="2" l="1"/>
  <c r="AA75" i="2"/>
  <c r="Z75" i="2"/>
  <c r="AE75" i="2" s="1"/>
  <c r="S76" i="2" l="1"/>
  <c r="W76" i="2" s="1"/>
  <c r="Y76" i="2" l="1"/>
  <c r="AB76" i="2" s="1"/>
  <c r="AC76" i="2"/>
  <c r="X77" i="2" l="1"/>
  <c r="AA76" i="2"/>
  <c r="Z76" i="2"/>
  <c r="AE76" i="2" s="1"/>
  <c r="S77" i="2" l="1"/>
  <c r="W77" i="2" s="1"/>
  <c r="AC77" i="2" l="1"/>
  <c r="Y77" i="2"/>
  <c r="AB77" i="2" s="1"/>
  <c r="X78" i="2" l="1"/>
  <c r="AA77" i="2"/>
  <c r="Z77" i="2"/>
  <c r="AE77" i="2" s="1"/>
  <c r="S78" i="2" l="1"/>
  <c r="W78" i="2" s="1"/>
  <c r="AC78" i="2" l="1"/>
  <c r="Y78" i="2"/>
  <c r="AB78" i="2" s="1"/>
  <c r="X79" i="2" l="1"/>
  <c r="AA78" i="2"/>
  <c r="Z78" i="2"/>
  <c r="AE78" i="2" s="1"/>
  <c r="S79" i="2" l="1"/>
  <c r="W79" i="2" s="1"/>
  <c r="Y79" i="2" l="1"/>
  <c r="AB79" i="2" s="1"/>
  <c r="AC79" i="2"/>
  <c r="X80" i="2" l="1"/>
  <c r="AA79" i="2"/>
  <c r="Z79" i="2"/>
  <c r="AE79" i="2" s="1"/>
  <c r="S80" i="2" l="1"/>
  <c r="W80" i="2" s="1"/>
  <c r="Y80" i="2" l="1"/>
  <c r="AB80" i="2" s="1"/>
  <c r="AC80" i="2"/>
  <c r="X81" i="2" l="1"/>
  <c r="AA80" i="2"/>
  <c r="Z80" i="2"/>
  <c r="AE80" i="2" s="1"/>
  <c r="S81" i="2" l="1"/>
  <c r="W81" i="2" s="1"/>
  <c r="Y81" i="2" l="1"/>
  <c r="AB81" i="2" s="1"/>
  <c r="AC81" i="2"/>
  <c r="X82" i="2" l="1"/>
  <c r="AA81" i="2"/>
  <c r="Z81" i="2"/>
  <c r="AE81" i="2" s="1"/>
  <c r="S82" i="2" l="1"/>
  <c r="W82" i="2" s="1"/>
  <c r="Y82" i="2" l="1"/>
  <c r="AB82" i="2" s="1"/>
  <c r="AC82" i="2"/>
  <c r="X83" i="2" l="1"/>
  <c r="AA82" i="2"/>
  <c r="Z82" i="2"/>
  <c r="AE82" i="2" s="1"/>
  <c r="S83" i="2" l="1"/>
  <c r="W83" i="2" s="1"/>
  <c r="Y83" i="2" l="1"/>
  <c r="AB83" i="2" s="1"/>
  <c r="AC83" i="2"/>
  <c r="X84" i="2" l="1"/>
  <c r="AA83" i="2"/>
  <c r="Z83" i="2"/>
  <c r="AE83" i="2" s="1"/>
  <c r="S84" i="2" l="1"/>
  <c r="W84" i="2" s="1"/>
  <c r="AC84" i="2" l="1"/>
  <c r="Y84" i="2"/>
  <c r="AB84" i="2" s="1"/>
  <c r="X85" i="2" l="1"/>
  <c r="AA84" i="2"/>
  <c r="Z84" i="2"/>
  <c r="AE84" i="2" s="1"/>
  <c r="S85" i="2" l="1"/>
  <c r="W85" i="2" s="1"/>
  <c r="AC85" i="2" l="1"/>
  <c r="Y85" i="2"/>
  <c r="AB85" i="2" s="1"/>
  <c r="X86" i="2" l="1"/>
  <c r="AA85" i="2"/>
  <c r="Z85" i="2"/>
  <c r="AE85" i="2" s="1"/>
  <c r="S86" i="2" l="1"/>
  <c r="W86" i="2" s="1"/>
  <c r="AC86" i="2" l="1"/>
  <c r="Y86" i="2"/>
  <c r="AB86" i="2" s="1"/>
  <c r="X87" i="2" l="1"/>
  <c r="AA86" i="2"/>
  <c r="Z86" i="2"/>
  <c r="AE86" i="2" s="1"/>
  <c r="S87" i="2" l="1"/>
  <c r="W87" i="2" s="1"/>
  <c r="Y87" i="2" l="1"/>
  <c r="AB87" i="2" s="1"/>
  <c r="AC87" i="2"/>
  <c r="X88" i="2" l="1"/>
  <c r="AA87" i="2"/>
  <c r="Z87" i="2"/>
  <c r="AE87" i="2" s="1"/>
  <c r="S88" i="2" l="1"/>
  <c r="W88" i="2" s="1"/>
  <c r="AC88" i="2" l="1"/>
  <c r="Y88" i="2"/>
  <c r="AB88" i="2" s="1"/>
  <c r="X89" i="2" l="1"/>
  <c r="AA88" i="2"/>
  <c r="Z88" i="2"/>
  <c r="AE88" i="2" s="1"/>
  <c r="S89" i="2" l="1"/>
  <c r="W89" i="2" s="1"/>
  <c r="AC89" i="2" l="1"/>
  <c r="Y89" i="2"/>
  <c r="AB89" i="2" s="1"/>
  <c r="X90" i="2" l="1"/>
  <c r="AA89" i="2"/>
  <c r="Z89" i="2"/>
  <c r="AE89" i="2" s="1"/>
  <c r="S90" i="2" l="1"/>
  <c r="W90" i="2" s="1"/>
  <c r="Y90" i="2" l="1"/>
  <c r="AB90" i="2" s="1"/>
  <c r="AC90" i="2"/>
  <c r="X91" i="2" l="1"/>
  <c r="AA90" i="2"/>
  <c r="Z90" i="2"/>
  <c r="AE90" i="2" s="1"/>
  <c r="S91" i="2" l="1"/>
  <c r="W91" i="2" s="1"/>
  <c r="Y91" i="2" l="1"/>
  <c r="AB91" i="2" s="1"/>
  <c r="AC91" i="2"/>
  <c r="X92" i="2" l="1"/>
  <c r="AA91" i="2"/>
  <c r="Z91" i="2"/>
  <c r="AE91" i="2" s="1"/>
  <c r="S92" i="2" l="1"/>
  <c r="W92" i="2" s="1"/>
  <c r="Y92" i="2" l="1"/>
  <c r="AB92" i="2" s="1"/>
  <c r="AC92" i="2"/>
  <c r="X93" i="2" l="1"/>
  <c r="AA92" i="2"/>
  <c r="Z92" i="2"/>
  <c r="AE92" i="2" s="1"/>
  <c r="S93" i="2" l="1"/>
  <c r="W93" i="2" s="1"/>
  <c r="AC93" i="2" l="1"/>
  <c r="Y93" i="2"/>
  <c r="AB93" i="2" s="1"/>
  <c r="X94" i="2" l="1"/>
  <c r="AA93" i="2"/>
  <c r="Z93" i="2"/>
  <c r="AE93" i="2" s="1"/>
  <c r="S94" i="2" l="1"/>
  <c r="W94" i="2" s="1"/>
  <c r="Y94" i="2" l="1"/>
  <c r="AB94" i="2" s="1"/>
  <c r="AC94" i="2"/>
  <c r="X95" i="2" l="1"/>
  <c r="AA94" i="2"/>
  <c r="Z94" i="2"/>
  <c r="AE94" i="2" s="1"/>
  <c r="S95" i="2" l="1"/>
  <c r="W95" i="2" s="1"/>
  <c r="Y95" i="2" l="1"/>
  <c r="AB95" i="2" s="1"/>
  <c r="AC95" i="2"/>
  <c r="X96" i="2" l="1"/>
  <c r="AA95" i="2"/>
  <c r="Z95" i="2"/>
  <c r="AE95" i="2" s="1"/>
  <c r="S96" i="2" l="1"/>
  <c r="W96" i="2" s="1"/>
  <c r="AC96" i="2" l="1"/>
  <c r="Y96" i="2"/>
  <c r="AB96" i="2" s="1"/>
  <c r="X97" i="2" l="1"/>
  <c r="AA96" i="2"/>
  <c r="Z96" i="2"/>
  <c r="AE96" i="2" s="1"/>
  <c r="S97" i="2" l="1"/>
  <c r="W97" i="2" s="1"/>
  <c r="AC97" i="2" l="1"/>
  <c r="Y97" i="2"/>
  <c r="AB97" i="2" s="1"/>
  <c r="X98" i="2" l="1"/>
  <c r="AA97" i="2"/>
  <c r="Z97" i="2"/>
  <c r="AE97" i="2" s="1"/>
  <c r="S98" i="2" l="1"/>
  <c r="W98" i="2" s="1"/>
  <c r="AC98" i="2" l="1"/>
  <c r="Y98" i="2"/>
  <c r="AB98" i="2" s="1"/>
  <c r="X99" i="2" l="1"/>
  <c r="AA98" i="2"/>
  <c r="Z98" i="2"/>
  <c r="AE98" i="2" s="1"/>
  <c r="S99" i="2" l="1"/>
  <c r="W99" i="2" s="1"/>
  <c r="Y99" i="2" l="1"/>
  <c r="AB99" i="2" s="1"/>
  <c r="AC99" i="2"/>
  <c r="X100" i="2" l="1"/>
  <c r="AA99" i="2"/>
  <c r="Z99" i="2"/>
  <c r="AE99" i="2" s="1"/>
  <c r="S100" i="2" l="1"/>
  <c r="W100" i="2" s="1"/>
  <c r="AC100" i="2" l="1"/>
  <c r="Y100" i="2"/>
  <c r="AB100" i="2" s="1"/>
  <c r="X101" i="2" l="1"/>
  <c r="AA100" i="2"/>
  <c r="Z100" i="2"/>
  <c r="AE100" i="2" s="1"/>
  <c r="S101" i="2" l="1"/>
  <c r="W101" i="2" s="1"/>
  <c r="AC101" i="2" l="1"/>
  <c r="Y101" i="2"/>
  <c r="AB101" i="2" s="1"/>
  <c r="X102" i="2" l="1"/>
  <c r="AA101" i="2"/>
  <c r="Z101" i="2"/>
  <c r="AE101" i="2" s="1"/>
  <c r="S102" i="2" l="1"/>
  <c r="W102" i="2" s="1"/>
  <c r="Y102" i="2" l="1"/>
  <c r="AB102" i="2" s="1"/>
  <c r="AC102" i="2"/>
  <c r="X103" i="2" l="1"/>
  <c r="AA102" i="2"/>
  <c r="Z102" i="2"/>
  <c r="AE102" i="2" s="1"/>
  <c r="S103" i="2" l="1"/>
  <c r="W103" i="2" s="1"/>
  <c r="AC103" i="2" l="1"/>
  <c r="Y103" i="2"/>
  <c r="AB103" i="2" s="1"/>
  <c r="X104" i="2" l="1"/>
  <c r="AA103" i="2"/>
  <c r="Z103" i="2"/>
  <c r="AE103" i="2" s="1"/>
  <c r="S104" i="2" l="1"/>
  <c r="W104" i="2" s="1"/>
  <c r="AC104" i="2" l="1"/>
  <c r="Y104" i="2"/>
  <c r="AB104" i="2" s="1"/>
  <c r="X105" i="2" l="1"/>
  <c r="AA104" i="2"/>
  <c r="Z104" i="2"/>
  <c r="AE104" i="2" s="1"/>
  <c r="S105" i="2" l="1"/>
  <c r="W105" i="2" s="1"/>
  <c r="Y105" i="2" l="1"/>
  <c r="AB105" i="2" s="1"/>
  <c r="AC105" i="2"/>
  <c r="X106" i="2" l="1"/>
  <c r="AA105" i="2"/>
  <c r="Z105" i="2"/>
  <c r="AE105" i="2" s="1"/>
  <c r="S106" i="2" l="1"/>
  <c r="W106" i="2" s="1"/>
  <c r="Y106" i="2" l="1"/>
  <c r="AB106" i="2" s="1"/>
  <c r="AC106" i="2"/>
  <c r="X107" i="2" l="1"/>
  <c r="AA106" i="2"/>
  <c r="Z106" i="2"/>
  <c r="AE106" i="2" s="1"/>
  <c r="S107" i="2" l="1"/>
  <c r="W107" i="2" s="1"/>
  <c r="AC107" i="2" l="1"/>
  <c r="Y107" i="2"/>
  <c r="AB107" i="2" s="1"/>
  <c r="X108" i="2" l="1"/>
  <c r="AA107" i="2"/>
  <c r="Z107" i="2"/>
  <c r="AE107" i="2" s="1"/>
  <c r="S108" i="2" l="1"/>
  <c r="W108" i="2" s="1"/>
  <c r="AC108" i="2" l="1"/>
  <c r="Y108" i="2"/>
  <c r="AB108" i="2" s="1"/>
  <c r="X109" i="2" l="1"/>
  <c r="AA108" i="2"/>
  <c r="Z108" i="2"/>
  <c r="AE108" i="2" s="1"/>
  <c r="S109" i="2" l="1"/>
  <c r="W109" i="2" s="1"/>
  <c r="AC109" i="2" l="1"/>
  <c r="Y109" i="2"/>
  <c r="AB109" i="2" s="1"/>
  <c r="X110" i="2" l="1"/>
  <c r="AA109" i="2"/>
  <c r="Z109" i="2"/>
  <c r="AE109" i="2" s="1"/>
  <c r="S110" i="2" l="1"/>
  <c r="W110" i="2" s="1"/>
  <c r="AC110" i="2" l="1"/>
  <c r="Y110" i="2"/>
  <c r="AB110" i="2" s="1"/>
  <c r="X111" i="2" l="1"/>
  <c r="AA110" i="2"/>
  <c r="Z110" i="2"/>
  <c r="AE110" i="2" s="1"/>
  <c r="S111" i="2" l="1"/>
  <c r="W111" i="2" s="1"/>
  <c r="AC111" i="2" l="1"/>
  <c r="Y111" i="2"/>
  <c r="AB111" i="2" s="1"/>
  <c r="X112" i="2" l="1"/>
  <c r="AA111" i="2"/>
  <c r="Z111" i="2"/>
  <c r="AE111" i="2" s="1"/>
  <c r="S112" i="2" l="1"/>
  <c r="W112" i="2" s="1"/>
  <c r="Y112" i="2" l="1"/>
  <c r="AB112" i="2" s="1"/>
  <c r="AC112" i="2"/>
  <c r="X113" i="2" l="1"/>
  <c r="AA112" i="2"/>
  <c r="Z112" i="2"/>
  <c r="AE112" i="2" s="1"/>
  <c r="S113" i="2" l="1"/>
  <c r="W113" i="2" s="1"/>
  <c r="AC113" i="2" l="1"/>
  <c r="Y113" i="2"/>
  <c r="AB113" i="2" s="1"/>
  <c r="X114" i="2" l="1"/>
  <c r="AA113" i="2"/>
  <c r="Z113" i="2"/>
  <c r="AE113" i="2" s="1"/>
  <c r="S114" i="2" l="1"/>
  <c r="W114" i="2" s="1"/>
  <c r="AC114" i="2" l="1"/>
  <c r="Y114" i="2"/>
  <c r="AB114" i="2" s="1"/>
  <c r="X115" i="2" l="1"/>
  <c r="AA114" i="2"/>
  <c r="Z114" i="2"/>
  <c r="AE114" i="2" s="1"/>
  <c r="S115" i="2" l="1"/>
  <c r="W115" i="2" s="1"/>
  <c r="AC115" i="2" l="1"/>
  <c r="Y115" i="2"/>
  <c r="AB115" i="2" s="1"/>
  <c r="X116" i="2" l="1"/>
  <c r="AA115" i="2"/>
  <c r="Z115" i="2"/>
  <c r="AE115" i="2" s="1"/>
  <c r="S116" i="2" l="1"/>
  <c r="W116" i="2" s="1"/>
  <c r="AC116" i="2" l="1"/>
  <c r="Y116" i="2"/>
  <c r="AB116" i="2" s="1"/>
  <c r="X117" i="2" l="1"/>
  <c r="AA116" i="2"/>
  <c r="Z116" i="2"/>
  <c r="AE116" i="2" s="1"/>
  <c r="S117" i="2" l="1"/>
  <c r="W117" i="2" s="1"/>
  <c r="Y117" i="2" l="1"/>
  <c r="AB117" i="2" s="1"/>
  <c r="AC117" i="2"/>
  <c r="X118" i="2" l="1"/>
  <c r="AA117" i="2"/>
  <c r="Z117" i="2"/>
  <c r="AE117" i="2" s="1"/>
  <c r="S118" i="2" l="1"/>
  <c r="W118" i="2" s="1"/>
  <c r="AC118" i="2" l="1"/>
  <c r="Y118" i="2"/>
  <c r="AB118" i="2" s="1"/>
  <c r="X119" i="2" l="1"/>
  <c r="AA118" i="2"/>
  <c r="Z118" i="2"/>
  <c r="AE118" i="2" s="1"/>
  <c r="S119" i="2" l="1"/>
  <c r="W119" i="2" s="1"/>
  <c r="AC119" i="2" l="1"/>
  <c r="Y119" i="2"/>
  <c r="AB119" i="2" s="1"/>
  <c r="X120" i="2" l="1"/>
  <c r="AA119" i="2"/>
  <c r="Z119" i="2"/>
  <c r="AE119" i="2" s="1"/>
  <c r="S120" i="2" l="1"/>
  <c r="W120" i="2" s="1"/>
  <c r="AC120" i="2" l="1"/>
  <c r="Y120" i="2"/>
  <c r="AB120" i="2" s="1"/>
  <c r="X121" i="2" l="1"/>
  <c r="AA120" i="2"/>
  <c r="Z120" i="2"/>
  <c r="AE120" i="2" s="1"/>
  <c r="S121" i="2" l="1"/>
  <c r="W121" i="2" s="1"/>
  <c r="Y121" i="2" l="1"/>
  <c r="AB121" i="2" s="1"/>
  <c r="AC121" i="2"/>
  <c r="X122" i="2" l="1"/>
  <c r="AA121" i="2"/>
  <c r="Z121" i="2"/>
  <c r="AE121" i="2" s="1"/>
  <c r="S122" i="2" l="1"/>
  <c r="W122" i="2" s="1"/>
  <c r="AC122" i="2" l="1"/>
  <c r="Y122" i="2"/>
  <c r="AB122" i="2" s="1"/>
  <c r="X123" i="2" l="1"/>
  <c r="AA122" i="2"/>
  <c r="Z122" i="2"/>
  <c r="AE122" i="2" s="1"/>
  <c r="S123" i="2" l="1"/>
  <c r="W123" i="2" s="1"/>
  <c r="AC123" i="2" l="1"/>
  <c r="Y123" i="2"/>
  <c r="AB123" i="2" s="1"/>
  <c r="X124" i="2" l="1"/>
  <c r="AA123" i="2"/>
  <c r="Z123" i="2"/>
  <c r="AE123" i="2" s="1"/>
  <c r="S124" i="2" l="1"/>
  <c r="W124" i="2" s="1"/>
  <c r="Y124" i="2" l="1"/>
  <c r="AB124" i="2" s="1"/>
  <c r="AC124" i="2"/>
  <c r="X125" i="2" l="1"/>
  <c r="AA124" i="2"/>
  <c r="Z124" i="2"/>
  <c r="AE124" i="2" s="1"/>
  <c r="S125" i="2" l="1"/>
  <c r="W125" i="2" s="1"/>
  <c r="AC125" i="2" l="1"/>
  <c r="Y125" i="2"/>
  <c r="AB125" i="2" s="1"/>
  <c r="X126" i="2" l="1"/>
  <c r="AA125" i="2"/>
  <c r="Z125" i="2"/>
  <c r="AE125" i="2" s="1"/>
  <c r="S126" i="2" l="1"/>
  <c r="W126" i="2" s="1"/>
  <c r="Y126" i="2" l="1"/>
  <c r="AB126" i="2" s="1"/>
  <c r="AC126" i="2"/>
  <c r="X127" i="2" l="1"/>
  <c r="AA126" i="2"/>
  <c r="Z126" i="2"/>
  <c r="AE126" i="2" s="1"/>
  <c r="S127" i="2" l="1"/>
  <c r="W127" i="2" s="1"/>
  <c r="AC127" i="2" l="1"/>
  <c r="Y127" i="2"/>
  <c r="AB127" i="2" s="1"/>
  <c r="X128" i="2" l="1"/>
  <c r="AA127" i="2"/>
  <c r="Z127" i="2"/>
  <c r="AE127" i="2" s="1"/>
  <c r="S128" i="2" l="1"/>
  <c r="W128" i="2" s="1"/>
  <c r="AC128" i="2" l="1"/>
  <c r="Y128" i="2"/>
  <c r="AB128" i="2" s="1"/>
  <c r="X129" i="2" l="1"/>
  <c r="AA128" i="2"/>
  <c r="Z128" i="2"/>
  <c r="AE128" i="2" s="1"/>
  <c r="S129" i="2" l="1"/>
  <c r="W129" i="2" s="1"/>
  <c r="AC129" i="2" l="1"/>
  <c r="Y129" i="2"/>
  <c r="AB129" i="2" s="1"/>
  <c r="X130" i="2" l="1"/>
  <c r="AA129" i="2"/>
  <c r="Z129" i="2"/>
  <c r="AE129" i="2" s="1"/>
  <c r="S130" i="2" l="1"/>
  <c r="W130" i="2" s="1"/>
  <c r="Y130" i="2" l="1"/>
  <c r="AB130" i="2" s="1"/>
  <c r="AC130" i="2"/>
  <c r="X131" i="2" l="1"/>
  <c r="AA130" i="2"/>
  <c r="Z130" i="2"/>
  <c r="AE130" i="2" s="1"/>
  <c r="S131" i="2" l="1"/>
  <c r="W131" i="2" s="1"/>
  <c r="Y131" i="2" l="1"/>
  <c r="AB131" i="2" s="1"/>
  <c r="AC131" i="2"/>
  <c r="X132" i="2" l="1"/>
  <c r="AA131" i="2"/>
  <c r="Z131" i="2"/>
  <c r="AE131" i="2" s="1"/>
  <c r="S132" i="2" l="1"/>
  <c r="W132" i="2" s="1"/>
  <c r="Y132" i="2" l="1"/>
  <c r="AB132" i="2" s="1"/>
  <c r="AC132" i="2"/>
  <c r="X133" i="2" l="1"/>
  <c r="AA132" i="2"/>
  <c r="Z132" i="2"/>
  <c r="AE132" i="2" s="1"/>
  <c r="S133" i="2" l="1"/>
  <c r="W133" i="2" s="1"/>
  <c r="Y133" i="2" l="1"/>
  <c r="AB133" i="2" s="1"/>
  <c r="AC133" i="2"/>
  <c r="X134" i="2" l="1"/>
  <c r="AA133" i="2"/>
  <c r="Z133" i="2"/>
  <c r="AE133" i="2" s="1"/>
  <c r="S134" i="2" l="1"/>
  <c r="W134" i="2" s="1"/>
  <c r="AC134" i="2" l="1"/>
  <c r="Y134" i="2"/>
  <c r="AB134" i="2" s="1"/>
  <c r="X135" i="2" l="1"/>
  <c r="AA134" i="2"/>
  <c r="Z134" i="2"/>
  <c r="AE134" i="2" s="1"/>
  <c r="S135" i="2" l="1"/>
  <c r="W135" i="2" s="1"/>
  <c r="AC135" i="2" l="1"/>
  <c r="Y135" i="2"/>
  <c r="AB135" i="2" s="1"/>
  <c r="X136" i="2" l="1"/>
  <c r="AA135" i="2"/>
  <c r="Z135" i="2"/>
  <c r="AE135" i="2" s="1"/>
  <c r="S136" i="2" l="1"/>
  <c r="W136" i="2" s="1"/>
  <c r="AC136" i="2" l="1"/>
  <c r="Y136" i="2"/>
  <c r="AB136" i="2" s="1"/>
  <c r="X137" i="2" l="1"/>
  <c r="AA136" i="2"/>
  <c r="Z136" i="2"/>
  <c r="AE136" i="2" s="1"/>
  <c r="S137" i="2" l="1"/>
  <c r="W137" i="2" s="1"/>
  <c r="Y137" i="2" l="1"/>
  <c r="AB137" i="2" s="1"/>
  <c r="AC137" i="2"/>
  <c r="X138" i="2" l="1"/>
  <c r="AA137" i="2"/>
  <c r="Z137" i="2"/>
  <c r="AE137" i="2" s="1"/>
  <c r="S138" i="2" l="1"/>
  <c r="W138" i="2" s="1"/>
  <c r="AC138" i="2" l="1"/>
  <c r="Y138" i="2"/>
  <c r="AB138" i="2" s="1"/>
  <c r="X139" i="2" l="1"/>
  <c r="AA138" i="2"/>
  <c r="Z138" i="2"/>
  <c r="AE138" i="2" s="1"/>
  <c r="S139" i="2" l="1"/>
  <c r="W139" i="2" s="1"/>
  <c r="AC139" i="2" l="1"/>
  <c r="Y139" i="2"/>
  <c r="AB139" i="2" s="1"/>
  <c r="X140" i="2" l="1"/>
  <c r="AA139" i="2"/>
  <c r="Z139" i="2"/>
  <c r="AE139" i="2" s="1"/>
  <c r="S140" i="2" l="1"/>
  <c r="W140" i="2" s="1"/>
  <c r="Y140" i="2" l="1"/>
  <c r="AB140" i="2" s="1"/>
  <c r="AC140" i="2"/>
  <c r="X141" i="2" l="1"/>
  <c r="AA140" i="2"/>
  <c r="Z140" i="2"/>
  <c r="AE140" i="2" s="1"/>
  <c r="S141" i="2" l="1"/>
  <c r="W141" i="2" s="1"/>
  <c r="AC141" i="2" l="1"/>
  <c r="Y141" i="2"/>
  <c r="AB141" i="2" s="1"/>
  <c r="X142" i="2" l="1"/>
  <c r="AA141" i="2"/>
  <c r="Z141" i="2"/>
  <c r="AE141" i="2" s="1"/>
  <c r="S142" i="2" l="1"/>
  <c r="W142" i="2" s="1"/>
  <c r="Y142" i="2" l="1"/>
  <c r="AB142" i="2" s="1"/>
  <c r="AC142" i="2"/>
  <c r="X143" i="2" l="1"/>
  <c r="AA142" i="2"/>
  <c r="Z142" i="2"/>
  <c r="AE142" i="2" s="1"/>
  <c r="S143" i="2" l="1"/>
  <c r="W143" i="2" s="1"/>
  <c r="AC143" i="2" l="1"/>
  <c r="Y143" i="2"/>
  <c r="AB143" i="2" s="1"/>
  <c r="X144" i="2" l="1"/>
  <c r="AA143" i="2"/>
  <c r="Z143" i="2"/>
  <c r="AE143" i="2" s="1"/>
  <c r="S144" i="2" l="1"/>
  <c r="W144" i="2" s="1"/>
  <c r="Y144" i="2" l="1"/>
  <c r="AB144" i="2" s="1"/>
  <c r="AC144" i="2"/>
  <c r="X145" i="2" l="1"/>
  <c r="AA144" i="2"/>
  <c r="Z144" i="2"/>
  <c r="AE144" i="2" s="1"/>
  <c r="S145" i="2" l="1"/>
  <c r="W145" i="2" s="1"/>
  <c r="Y145" i="2" l="1"/>
  <c r="AB145" i="2" s="1"/>
  <c r="AC145" i="2"/>
  <c r="X146" i="2" l="1"/>
  <c r="AA145" i="2"/>
  <c r="Z145" i="2"/>
  <c r="AE145" i="2" s="1"/>
  <c r="S146" i="2" l="1"/>
  <c r="W146" i="2" s="1"/>
  <c r="Y146" i="2" l="1"/>
  <c r="AB146" i="2" s="1"/>
  <c r="AC146" i="2"/>
  <c r="X147" i="2" l="1"/>
  <c r="AA146" i="2"/>
  <c r="Z146" i="2"/>
  <c r="AE146" i="2" s="1"/>
  <c r="S147" i="2" l="1"/>
  <c r="W147" i="2" s="1"/>
  <c r="AC147" i="2" l="1"/>
  <c r="Y147" i="2"/>
  <c r="AB147" i="2" s="1"/>
  <c r="X148" i="2" l="1"/>
  <c r="AA147" i="2"/>
  <c r="Z147" i="2"/>
  <c r="AE147" i="2" s="1"/>
  <c r="S148" i="2" l="1"/>
  <c r="W148" i="2" s="1"/>
  <c r="AC148" i="2" l="1"/>
  <c r="Y148" i="2"/>
  <c r="AB148" i="2" s="1"/>
  <c r="X149" i="2" l="1"/>
  <c r="AA148" i="2"/>
  <c r="Z148" i="2"/>
  <c r="AE148" i="2" s="1"/>
  <c r="S149" i="2" l="1"/>
  <c r="W149" i="2" s="1"/>
  <c r="AC149" i="2" l="1"/>
  <c r="Y149" i="2"/>
  <c r="AB149" i="2" s="1"/>
  <c r="X150" i="2" l="1"/>
  <c r="AA149" i="2"/>
  <c r="Z149" i="2"/>
  <c r="AE149" i="2" s="1"/>
  <c r="S150" i="2" l="1"/>
  <c r="W150" i="2" s="1"/>
  <c r="AC150" i="2" l="1"/>
  <c r="Y150" i="2"/>
  <c r="AB150" i="2" s="1"/>
  <c r="X151" i="2" l="1"/>
  <c r="AA150" i="2"/>
  <c r="Z150" i="2"/>
  <c r="AE150" i="2" s="1"/>
  <c r="S151" i="2" l="1"/>
  <c r="W151" i="2" s="1"/>
  <c r="Y151" i="2" l="1"/>
  <c r="AB151" i="2" s="1"/>
  <c r="AC151" i="2"/>
  <c r="X152" i="2" l="1"/>
  <c r="AA151" i="2"/>
  <c r="Z151" i="2"/>
  <c r="AE151" i="2" s="1"/>
  <c r="S152" i="2" l="1"/>
  <c r="W152" i="2" s="1"/>
  <c r="Y152" i="2" l="1"/>
  <c r="AB152" i="2" s="1"/>
  <c r="AC152" i="2"/>
  <c r="X153" i="2" l="1"/>
  <c r="AA152" i="2"/>
  <c r="Z152" i="2"/>
  <c r="AE152" i="2" s="1"/>
  <c r="S153" i="2" l="1"/>
  <c r="W153" i="2" s="1"/>
  <c r="AC153" i="2" l="1"/>
  <c r="Y153" i="2"/>
  <c r="AB153" i="2" s="1"/>
  <c r="X154" i="2" l="1"/>
  <c r="AA153" i="2"/>
  <c r="Z153" i="2"/>
  <c r="AE153" i="2" s="1"/>
  <c r="S154" i="2" l="1"/>
  <c r="W154" i="2" s="1"/>
  <c r="AC154" i="2" l="1"/>
  <c r="Y154" i="2"/>
  <c r="AB154" i="2" s="1"/>
  <c r="X155" i="2" l="1"/>
  <c r="AA154" i="2"/>
  <c r="Z154" i="2"/>
  <c r="AE154" i="2" s="1"/>
  <c r="S155" i="2" l="1"/>
  <c r="W155" i="2" s="1"/>
  <c r="Y155" i="2" l="1"/>
  <c r="AB155" i="2" s="1"/>
  <c r="AC155" i="2"/>
  <c r="X156" i="2" l="1"/>
  <c r="AA155" i="2"/>
  <c r="Z155" i="2"/>
  <c r="AE155" i="2" s="1"/>
  <c r="S156" i="2" l="1"/>
  <c r="W156" i="2" s="1"/>
  <c r="AC156" i="2" l="1"/>
  <c r="Y156" i="2"/>
  <c r="AB156" i="2" s="1"/>
  <c r="X157" i="2" l="1"/>
  <c r="AA156" i="2"/>
  <c r="Z156" i="2"/>
  <c r="AE156" i="2" s="1"/>
  <c r="S157" i="2" l="1"/>
  <c r="W157" i="2" s="1"/>
  <c r="AC157" i="2" l="1"/>
  <c r="Y157" i="2"/>
  <c r="AB157" i="2" s="1"/>
  <c r="X158" i="2" l="1"/>
  <c r="AA157" i="2"/>
  <c r="Z157" i="2"/>
  <c r="AE157" i="2" s="1"/>
  <c r="S158" i="2" l="1"/>
  <c r="W158" i="2" s="1"/>
  <c r="Y158" i="2" l="1"/>
  <c r="AB158" i="2" s="1"/>
  <c r="AC158" i="2"/>
  <c r="X159" i="2" l="1"/>
  <c r="AA158" i="2"/>
  <c r="Z158" i="2"/>
  <c r="AE158" i="2" s="1"/>
  <c r="S159" i="2" l="1"/>
  <c r="W159" i="2" s="1"/>
  <c r="Y159" i="2" l="1"/>
  <c r="AB159" i="2" s="1"/>
  <c r="AC159" i="2"/>
  <c r="X160" i="2" l="1"/>
  <c r="AA159" i="2"/>
  <c r="Z159" i="2"/>
  <c r="AE159" i="2" s="1"/>
  <c r="S160" i="2" l="1"/>
  <c r="W160" i="2" s="1"/>
  <c r="Y160" i="2" l="1"/>
  <c r="AB160" i="2" s="1"/>
  <c r="AC160" i="2"/>
  <c r="X161" i="2" l="1"/>
  <c r="AA160" i="2"/>
  <c r="Z160" i="2"/>
  <c r="AE160" i="2" s="1"/>
  <c r="S161" i="2" l="1"/>
  <c r="W161" i="2" s="1"/>
  <c r="AC161" i="2" l="1"/>
  <c r="Y161" i="2"/>
  <c r="AB161" i="2" s="1"/>
  <c r="X162" i="2" l="1"/>
  <c r="AA161" i="2"/>
  <c r="Z161" i="2"/>
  <c r="AE161" i="2" s="1"/>
  <c r="S162" i="2" l="1"/>
  <c r="W162" i="2" s="1"/>
  <c r="AC162" i="2" l="1"/>
  <c r="Y162" i="2"/>
  <c r="AB162" i="2" s="1"/>
  <c r="X163" i="2" l="1"/>
  <c r="AA162" i="2"/>
  <c r="Z162" i="2"/>
  <c r="AE162" i="2" s="1"/>
  <c r="S163" i="2" l="1"/>
  <c r="W163" i="2" s="1"/>
  <c r="AC163" i="2" l="1"/>
  <c r="Y163" i="2"/>
  <c r="AB163" i="2" s="1"/>
  <c r="X164" i="2" l="1"/>
  <c r="AA163" i="2"/>
  <c r="Z163" i="2"/>
  <c r="AE163" i="2" s="1"/>
  <c r="S164" i="2" l="1"/>
  <c r="W164" i="2" s="1"/>
  <c r="Y164" i="2" l="1"/>
  <c r="AB164" i="2" s="1"/>
  <c r="AC164" i="2"/>
  <c r="X165" i="2" l="1"/>
  <c r="AA164" i="2"/>
  <c r="Z164" i="2"/>
  <c r="AE164" i="2" s="1"/>
  <c r="S165" i="2" l="1"/>
  <c r="W165" i="2" s="1"/>
  <c r="Y165" i="2" l="1"/>
  <c r="AB165" i="2" s="1"/>
  <c r="AC165" i="2"/>
  <c r="X166" i="2" l="1"/>
  <c r="AA165" i="2"/>
  <c r="Z165" i="2"/>
  <c r="AE165" i="2" s="1"/>
  <c r="S166" i="2" l="1"/>
  <c r="W166" i="2" s="1"/>
  <c r="Y166" i="2" l="1"/>
  <c r="AB166" i="2" s="1"/>
  <c r="AC166" i="2"/>
  <c r="X167" i="2" l="1"/>
  <c r="AA166" i="2"/>
  <c r="Z166" i="2"/>
  <c r="AE166" i="2" s="1"/>
  <c r="S167" i="2" l="1"/>
  <c r="W167" i="2" s="1"/>
  <c r="Y167" i="2" l="1"/>
  <c r="AB167" i="2" s="1"/>
  <c r="AC167" i="2"/>
  <c r="X168" i="2" l="1"/>
  <c r="AA167" i="2"/>
  <c r="Z167" i="2"/>
  <c r="AE167" i="2" s="1"/>
  <c r="S168" i="2" l="1"/>
  <c r="W168" i="2" s="1"/>
  <c r="Y168" i="2" l="1"/>
  <c r="AB168" i="2" s="1"/>
  <c r="AC168" i="2"/>
  <c r="X169" i="2" l="1"/>
  <c r="AA168" i="2"/>
  <c r="Z168" i="2"/>
  <c r="AE168" i="2" s="1"/>
  <c r="S169" i="2" l="1"/>
  <c r="W169" i="2" s="1"/>
  <c r="Y169" i="2" l="1"/>
  <c r="AB169" i="2" s="1"/>
  <c r="AC169" i="2"/>
  <c r="X170" i="2" l="1"/>
  <c r="AA169" i="2"/>
  <c r="Z169" i="2"/>
  <c r="AE169" i="2" s="1"/>
  <c r="S170" i="2" l="1"/>
  <c r="W170" i="2" s="1"/>
  <c r="AC170" i="2" l="1"/>
  <c r="Y170" i="2"/>
  <c r="AB170" i="2" s="1"/>
  <c r="X171" i="2" l="1"/>
  <c r="AA170" i="2"/>
  <c r="Z170" i="2"/>
  <c r="AE170" i="2" s="1"/>
  <c r="S171" i="2" l="1"/>
  <c r="W171" i="2" s="1"/>
  <c r="Y171" i="2" l="1"/>
  <c r="AB171" i="2" s="1"/>
  <c r="AC171" i="2"/>
  <c r="X172" i="2" l="1"/>
  <c r="AA171" i="2"/>
  <c r="Z171" i="2"/>
  <c r="AE171" i="2" s="1"/>
  <c r="S172" i="2" l="1"/>
  <c r="W172" i="2" s="1"/>
  <c r="Y172" i="2" l="1"/>
  <c r="AB172" i="2" s="1"/>
  <c r="AC172" i="2"/>
  <c r="X173" i="2" l="1"/>
  <c r="AA172" i="2"/>
  <c r="Z172" i="2"/>
  <c r="AE172" i="2" s="1"/>
  <c r="S173" i="2" l="1"/>
  <c r="W173" i="2" s="1"/>
  <c r="AC173" i="2" l="1"/>
  <c r="Y173" i="2"/>
  <c r="AB173" i="2" s="1"/>
  <c r="X174" i="2" l="1"/>
  <c r="AA173" i="2"/>
  <c r="Z173" i="2"/>
  <c r="AE173" i="2" s="1"/>
  <c r="S174" i="2" l="1"/>
  <c r="W174" i="2" s="1"/>
  <c r="Y174" i="2" l="1"/>
  <c r="AB174" i="2" s="1"/>
  <c r="AC174" i="2"/>
  <c r="X175" i="2" l="1"/>
  <c r="AA174" i="2"/>
  <c r="Z174" i="2"/>
  <c r="AE174" i="2" s="1"/>
  <c r="S175" i="2" l="1"/>
  <c r="W175" i="2" s="1"/>
  <c r="AC175" i="2" l="1"/>
  <c r="Y175" i="2"/>
  <c r="AB175" i="2" s="1"/>
  <c r="X176" i="2" l="1"/>
  <c r="AA175" i="2"/>
  <c r="Z175" i="2"/>
  <c r="AE175" i="2" s="1"/>
  <c r="S176" i="2" l="1"/>
  <c r="W176" i="2" s="1"/>
  <c r="Y176" i="2" l="1"/>
  <c r="AB176" i="2" s="1"/>
  <c r="AC176" i="2"/>
  <c r="X177" i="2" l="1"/>
  <c r="AA176" i="2"/>
  <c r="Z176" i="2"/>
  <c r="AE176" i="2" s="1"/>
  <c r="S177" i="2" l="1"/>
  <c r="W177" i="2" s="1"/>
  <c r="AC177" i="2" l="1"/>
  <c r="Y177" i="2"/>
  <c r="AB177" i="2" s="1"/>
  <c r="X178" i="2" l="1"/>
  <c r="AA177" i="2"/>
  <c r="Z177" i="2"/>
  <c r="AE177" i="2" s="1"/>
  <c r="S178" i="2" l="1"/>
  <c r="W178" i="2" s="1"/>
  <c r="AC178" i="2" l="1"/>
  <c r="Y178" i="2"/>
  <c r="AB178" i="2" s="1"/>
  <c r="X179" i="2" l="1"/>
  <c r="AA178" i="2"/>
  <c r="Z178" i="2"/>
  <c r="AE178" i="2" s="1"/>
  <c r="S179" i="2" l="1"/>
  <c r="W179" i="2" s="1"/>
  <c r="AC179" i="2" l="1"/>
  <c r="Y179" i="2"/>
  <c r="AB179" i="2" s="1"/>
  <c r="X180" i="2" l="1"/>
  <c r="AA179" i="2"/>
  <c r="Z179" i="2"/>
  <c r="AE179" i="2" s="1"/>
  <c r="S180" i="2" l="1"/>
  <c r="W180" i="2" s="1"/>
  <c r="AC180" i="2" l="1"/>
  <c r="Y180" i="2"/>
  <c r="AB180" i="2" s="1"/>
  <c r="X181" i="2" l="1"/>
  <c r="AA180" i="2"/>
  <c r="Z180" i="2"/>
  <c r="AE180" i="2" s="1"/>
  <c r="S181" i="2" l="1"/>
  <c r="W181" i="2" s="1"/>
  <c r="Y181" i="2" l="1"/>
  <c r="AB181" i="2" s="1"/>
  <c r="AC181" i="2"/>
  <c r="X182" i="2" l="1"/>
  <c r="AA181" i="2"/>
  <c r="Z181" i="2"/>
  <c r="AE181" i="2" s="1"/>
  <c r="S182" i="2" l="1"/>
  <c r="W182" i="2" s="1"/>
  <c r="Y182" i="2" l="1"/>
  <c r="AB182" i="2" s="1"/>
  <c r="AC182" i="2"/>
  <c r="X183" i="2" l="1"/>
  <c r="AA182" i="2"/>
  <c r="Z182" i="2"/>
  <c r="AE182" i="2" s="1"/>
  <c r="S183" i="2" l="1"/>
  <c r="W183" i="2" s="1"/>
  <c r="AC183" i="2" l="1"/>
  <c r="Y183" i="2"/>
  <c r="AB183" i="2" s="1"/>
  <c r="X184" i="2" l="1"/>
  <c r="AA183" i="2"/>
  <c r="Z183" i="2"/>
  <c r="AE183" i="2" s="1"/>
  <c r="S184" i="2" l="1"/>
  <c r="W184" i="2" s="1"/>
  <c r="AC184" i="2" l="1"/>
  <c r="Y184" i="2"/>
  <c r="AB184" i="2" s="1"/>
  <c r="X185" i="2" l="1"/>
  <c r="AA184" i="2"/>
  <c r="Z184" i="2"/>
  <c r="AE184" i="2" s="1"/>
  <c r="S185" i="2" l="1"/>
  <c r="W185" i="2" s="1"/>
  <c r="Y185" i="2" l="1"/>
  <c r="AB185" i="2" s="1"/>
  <c r="AC185" i="2"/>
  <c r="X186" i="2" l="1"/>
  <c r="AA185" i="2"/>
  <c r="Z185" i="2"/>
  <c r="AE185" i="2" s="1"/>
  <c r="S186" i="2" l="1"/>
  <c r="W186" i="2" s="1"/>
  <c r="Y186" i="2" l="1"/>
  <c r="AB186" i="2" s="1"/>
  <c r="AC186" i="2"/>
  <c r="X187" i="2" l="1"/>
  <c r="AA186" i="2"/>
  <c r="Z186" i="2"/>
  <c r="AE186" i="2" s="1"/>
  <c r="S187" i="2" l="1"/>
  <c r="W187" i="2" s="1"/>
  <c r="AC187" i="2" l="1"/>
  <c r="Y187" i="2"/>
  <c r="AB187" i="2" s="1"/>
  <c r="X188" i="2" l="1"/>
  <c r="AA187" i="2"/>
  <c r="Z187" i="2"/>
  <c r="AE187" i="2" s="1"/>
  <c r="S188" i="2" l="1"/>
  <c r="W188" i="2" s="1"/>
  <c r="AC188" i="2" l="1"/>
  <c r="Y188" i="2"/>
  <c r="AB188" i="2" s="1"/>
  <c r="X189" i="2" l="1"/>
  <c r="AA188" i="2"/>
  <c r="Z188" i="2"/>
  <c r="AE188" i="2" s="1"/>
  <c r="S189" i="2" l="1"/>
  <c r="W189" i="2" s="1"/>
  <c r="Y189" i="2" l="1"/>
  <c r="AB189" i="2" s="1"/>
  <c r="AC189" i="2"/>
  <c r="X190" i="2" l="1"/>
  <c r="AA189" i="2"/>
  <c r="Z189" i="2"/>
  <c r="AE189" i="2" s="1"/>
  <c r="S190" i="2" l="1"/>
  <c r="W190" i="2" s="1"/>
  <c r="AC190" i="2" l="1"/>
  <c r="Y190" i="2"/>
  <c r="AB190" i="2" s="1"/>
  <c r="X191" i="2" l="1"/>
  <c r="AA190" i="2"/>
  <c r="Z190" i="2"/>
  <c r="AE190" i="2" s="1"/>
  <c r="S191" i="2" l="1"/>
  <c r="W191" i="2" s="1"/>
  <c r="Y191" i="2" l="1"/>
  <c r="AB191" i="2" s="1"/>
  <c r="AC191" i="2"/>
  <c r="X192" i="2" l="1"/>
  <c r="AA191" i="2"/>
  <c r="Z191" i="2"/>
  <c r="AE191" i="2" s="1"/>
  <c r="S192" i="2" l="1"/>
  <c r="W192" i="2" s="1"/>
  <c r="AC192" i="2" l="1"/>
  <c r="Y192" i="2"/>
  <c r="AB192" i="2" s="1"/>
  <c r="X193" i="2" l="1"/>
  <c r="AA192" i="2"/>
  <c r="Z192" i="2"/>
  <c r="AE192" i="2" s="1"/>
  <c r="S193" i="2" l="1"/>
  <c r="W193" i="2" s="1"/>
  <c r="AC193" i="2" l="1"/>
  <c r="Y193" i="2"/>
  <c r="AB193" i="2" s="1"/>
  <c r="X194" i="2" l="1"/>
  <c r="AA193" i="2"/>
  <c r="Z193" i="2"/>
  <c r="AE193" i="2" s="1"/>
  <c r="S194" i="2" l="1"/>
  <c r="W194" i="2" s="1"/>
  <c r="Y194" i="2" l="1"/>
  <c r="AB194" i="2" s="1"/>
  <c r="AC194" i="2"/>
  <c r="X195" i="2" l="1"/>
  <c r="AA194" i="2"/>
  <c r="Z194" i="2"/>
  <c r="AE194" i="2" s="1"/>
  <c r="S195" i="2" l="1"/>
  <c r="W195" i="2" s="1"/>
  <c r="AC195" i="2" l="1"/>
  <c r="Y195" i="2"/>
  <c r="AB195" i="2" s="1"/>
  <c r="X196" i="2" l="1"/>
  <c r="AA195" i="2"/>
  <c r="Z195" i="2"/>
  <c r="AE195" i="2" s="1"/>
  <c r="S196" i="2" l="1"/>
  <c r="W196" i="2" s="1"/>
  <c r="Y196" i="2" l="1"/>
  <c r="AB196" i="2" s="1"/>
  <c r="AC196" i="2"/>
  <c r="X197" i="2" l="1"/>
  <c r="AA196" i="2"/>
  <c r="Z196" i="2"/>
  <c r="AE196" i="2" s="1"/>
  <c r="S197" i="2" l="1"/>
  <c r="W197" i="2" s="1"/>
  <c r="AC197" i="2" l="1"/>
  <c r="Y197" i="2"/>
  <c r="AB197" i="2" s="1"/>
  <c r="X198" i="2" l="1"/>
  <c r="AA197" i="2"/>
  <c r="Z197" i="2"/>
  <c r="AE197" i="2" s="1"/>
  <c r="S198" i="2" l="1"/>
  <c r="W198" i="2" s="1"/>
  <c r="AC198" i="2" l="1"/>
  <c r="Y198" i="2"/>
  <c r="AB198" i="2" s="1"/>
  <c r="X199" i="2" l="1"/>
  <c r="AA198" i="2"/>
  <c r="Z198" i="2"/>
  <c r="AE198" i="2" s="1"/>
  <c r="S199" i="2" l="1"/>
  <c r="W199" i="2" s="1"/>
  <c r="AC199" i="2" l="1"/>
  <c r="Y199" i="2"/>
  <c r="AB199" i="2" s="1"/>
  <c r="X200" i="2" l="1"/>
  <c r="AA199" i="2"/>
  <c r="Z199" i="2"/>
  <c r="AE199" i="2" s="1"/>
  <c r="S200" i="2" l="1"/>
  <c r="W200" i="2" s="1"/>
  <c r="AC200" i="2" l="1"/>
  <c r="Y200" i="2"/>
  <c r="AB200" i="2" s="1"/>
  <c r="X201" i="2" l="1"/>
  <c r="AA200" i="2"/>
  <c r="Z200" i="2"/>
  <c r="AE200" i="2" s="1"/>
  <c r="S201" i="2" l="1"/>
  <c r="W201" i="2" s="1"/>
  <c r="AC201" i="2" l="1"/>
  <c r="Y201" i="2"/>
  <c r="AB201" i="2" s="1"/>
  <c r="X202" i="2" l="1"/>
  <c r="AA201" i="2"/>
  <c r="Z201" i="2"/>
  <c r="AE201" i="2" s="1"/>
  <c r="S202" i="2" l="1"/>
  <c r="W202" i="2" s="1"/>
  <c r="AC202" i="2" l="1"/>
  <c r="Y202" i="2"/>
  <c r="AB202" i="2" s="1"/>
  <c r="X203" i="2" l="1"/>
  <c r="AA202" i="2"/>
  <c r="Z202" i="2"/>
  <c r="AE202" i="2" s="1"/>
  <c r="S203" i="2" l="1"/>
  <c r="W203" i="2" s="1"/>
  <c r="AC203" i="2" l="1"/>
  <c r="Y203" i="2"/>
  <c r="AB203" i="2" s="1"/>
  <c r="X204" i="2" l="1"/>
  <c r="AA203" i="2"/>
  <c r="Z203" i="2"/>
  <c r="AE203" i="2" s="1"/>
  <c r="S204" i="2" l="1"/>
  <c r="W204" i="2" s="1"/>
  <c r="Y204" i="2" l="1"/>
  <c r="AB204" i="2" s="1"/>
  <c r="AC204" i="2"/>
  <c r="X205" i="2" l="1"/>
  <c r="AA204" i="2"/>
  <c r="Z204" i="2"/>
  <c r="AE204" i="2" s="1"/>
  <c r="S205" i="2" l="1"/>
  <c r="W205" i="2" s="1"/>
  <c r="Y205" i="2" l="1"/>
  <c r="AB205" i="2" s="1"/>
  <c r="AC205" i="2"/>
  <c r="X206" i="2" l="1"/>
  <c r="AA205" i="2"/>
  <c r="Z205" i="2"/>
  <c r="AE205" i="2" s="1"/>
  <c r="S206" i="2" l="1"/>
  <c r="W206" i="2" s="1"/>
  <c r="Y206" i="2" l="1"/>
  <c r="AB206" i="2" s="1"/>
  <c r="AC206" i="2"/>
  <c r="X207" i="2" l="1"/>
  <c r="AA206" i="2"/>
  <c r="Z206" i="2"/>
  <c r="AE206" i="2" s="1"/>
  <c r="S207" i="2" l="1"/>
  <c r="W207" i="2" s="1"/>
  <c r="AC207" i="2" l="1"/>
  <c r="Y207" i="2"/>
  <c r="AB207" i="2" s="1"/>
  <c r="X208" i="2" l="1"/>
  <c r="AA207" i="2"/>
  <c r="Z207" i="2"/>
  <c r="AE207" i="2" s="1"/>
  <c r="S208" i="2" l="1"/>
  <c r="W208" i="2" s="1"/>
  <c r="AC208" i="2" l="1"/>
  <c r="Y208" i="2"/>
  <c r="AB208" i="2" s="1"/>
  <c r="X209" i="2" l="1"/>
  <c r="AA208" i="2"/>
  <c r="Z208" i="2"/>
  <c r="AE208" i="2" s="1"/>
  <c r="S209" i="2" l="1"/>
  <c r="W209" i="2" s="1"/>
  <c r="AC209" i="2" l="1"/>
  <c r="Y209" i="2"/>
  <c r="AB209" i="2" s="1"/>
  <c r="X210" i="2" l="1"/>
  <c r="AA209" i="2"/>
  <c r="Z209" i="2"/>
  <c r="AE209" i="2" s="1"/>
  <c r="S210" i="2" l="1"/>
  <c r="W210" i="2" s="1"/>
  <c r="AC210" i="2" l="1"/>
  <c r="Y210" i="2"/>
  <c r="AB210" i="2" s="1"/>
  <c r="X211" i="2" l="1"/>
  <c r="AA210" i="2"/>
  <c r="Z210" i="2"/>
  <c r="AE210" i="2" s="1"/>
  <c r="S211" i="2" l="1"/>
  <c r="W211" i="2" s="1"/>
  <c r="Y211" i="2" l="1"/>
  <c r="AB211" i="2" s="1"/>
  <c r="AC211" i="2"/>
  <c r="X212" i="2" l="1"/>
  <c r="AA211" i="2"/>
  <c r="Z211" i="2"/>
  <c r="AE211" i="2" s="1"/>
  <c r="S212" i="2" l="1"/>
  <c r="W212" i="2" s="1"/>
  <c r="AC212" i="2" l="1"/>
  <c r="Y212" i="2"/>
  <c r="AB212" i="2" s="1"/>
  <c r="X213" i="2" l="1"/>
  <c r="AA212" i="2"/>
  <c r="Z212" i="2"/>
  <c r="AE212" i="2" s="1"/>
  <c r="S213" i="2" l="1"/>
  <c r="W213" i="2" s="1"/>
  <c r="AC213" i="2" l="1"/>
  <c r="Y213" i="2"/>
  <c r="AB213" i="2" s="1"/>
  <c r="X214" i="2" l="1"/>
  <c r="AA213" i="2"/>
  <c r="Z213" i="2"/>
  <c r="AE213" i="2" s="1"/>
  <c r="S214" i="2" l="1"/>
  <c r="W214" i="2" s="1"/>
  <c r="AC214" i="2" l="1"/>
  <c r="Y214" i="2"/>
  <c r="AB214" i="2" s="1"/>
  <c r="X215" i="2" l="1"/>
  <c r="AA214" i="2"/>
  <c r="Z214" i="2"/>
  <c r="AE214" i="2" s="1"/>
  <c r="S215" i="2" l="1"/>
  <c r="W215" i="2" s="1"/>
  <c r="Y215" i="2" l="1"/>
  <c r="AB215" i="2" s="1"/>
  <c r="AC215" i="2"/>
  <c r="X216" i="2" l="1"/>
  <c r="AA215" i="2"/>
  <c r="Z215" i="2"/>
  <c r="AE215" i="2" s="1"/>
  <c r="S216" i="2" l="1"/>
  <c r="W216" i="2" s="1"/>
  <c r="AC216" i="2" l="1"/>
  <c r="Y216" i="2"/>
  <c r="AB216" i="2" s="1"/>
  <c r="X217" i="2" l="1"/>
  <c r="AA216" i="2"/>
  <c r="Z216" i="2"/>
  <c r="AE216" i="2" s="1"/>
  <c r="S217" i="2" l="1"/>
  <c r="W217" i="2" s="1"/>
  <c r="Y217" i="2" l="1"/>
  <c r="AB217" i="2" s="1"/>
  <c r="AC217" i="2"/>
  <c r="X218" i="2" l="1"/>
  <c r="AA217" i="2"/>
  <c r="Z217" i="2"/>
  <c r="AE217" i="2" s="1"/>
  <c r="S218" i="2" l="1"/>
  <c r="W218" i="2" s="1"/>
  <c r="Y218" i="2" l="1"/>
  <c r="AB218" i="2" s="1"/>
  <c r="AC218" i="2"/>
  <c r="X219" i="2" l="1"/>
  <c r="AA218" i="2"/>
  <c r="Z218" i="2"/>
  <c r="AE218" i="2" s="1"/>
  <c r="S219" i="2" l="1"/>
  <c r="W219" i="2" s="1"/>
  <c r="Y219" i="2" l="1"/>
  <c r="AB219" i="2" s="1"/>
  <c r="AC219" i="2"/>
  <c r="X220" i="2" l="1"/>
  <c r="AA219" i="2"/>
  <c r="Z219" i="2"/>
  <c r="AE219" i="2" s="1"/>
  <c r="S220" i="2" l="1"/>
  <c r="W220" i="2" s="1"/>
  <c r="AC220" i="2" l="1"/>
  <c r="Y220" i="2"/>
  <c r="AB220" i="2" s="1"/>
  <c r="X221" i="2" l="1"/>
  <c r="AA220" i="2"/>
  <c r="Z220" i="2"/>
  <c r="AE220" i="2" s="1"/>
  <c r="S221" i="2" l="1"/>
  <c r="W221" i="2" s="1"/>
  <c r="Y221" i="2" l="1"/>
  <c r="AB221" i="2" s="1"/>
  <c r="AC221" i="2"/>
  <c r="X222" i="2" l="1"/>
  <c r="AA221" i="2"/>
  <c r="Z221" i="2"/>
  <c r="AE221" i="2" s="1"/>
  <c r="S222" i="2" l="1"/>
  <c r="W222" i="2" s="1"/>
  <c r="AC222" i="2" l="1"/>
  <c r="Y222" i="2"/>
  <c r="AB222" i="2" s="1"/>
  <c r="X223" i="2" l="1"/>
  <c r="AA222" i="2"/>
  <c r="Z222" i="2"/>
  <c r="AE222" i="2" s="1"/>
  <c r="S223" i="2" l="1"/>
  <c r="W223" i="2" s="1"/>
  <c r="Y223" i="2" l="1"/>
  <c r="AB223" i="2" s="1"/>
  <c r="AC223" i="2"/>
  <c r="X224" i="2" l="1"/>
  <c r="AA223" i="2"/>
  <c r="Z223" i="2"/>
  <c r="AE223" i="2" s="1"/>
  <c r="S224" i="2" l="1"/>
  <c r="W224" i="2" s="1"/>
  <c r="AC224" i="2" l="1"/>
  <c r="Y224" i="2"/>
  <c r="AB224" i="2" s="1"/>
  <c r="X225" i="2" l="1"/>
  <c r="AA224" i="2"/>
  <c r="Z224" i="2"/>
  <c r="AE224" i="2" s="1"/>
  <c r="S225" i="2" l="1"/>
  <c r="W225" i="2" s="1"/>
  <c r="Y225" i="2" l="1"/>
  <c r="AB225" i="2" s="1"/>
  <c r="AC225" i="2"/>
  <c r="X226" i="2" l="1"/>
  <c r="AA225" i="2"/>
  <c r="Z225" i="2"/>
  <c r="AE225" i="2" s="1"/>
  <c r="S226" i="2" l="1"/>
  <c r="W226" i="2" s="1"/>
  <c r="Y226" i="2" l="1"/>
  <c r="AB226" i="2" s="1"/>
  <c r="AC226" i="2"/>
  <c r="X227" i="2" l="1"/>
  <c r="AA226" i="2"/>
  <c r="Z226" i="2"/>
  <c r="AE226" i="2" s="1"/>
  <c r="S227" i="2" l="1"/>
  <c r="W227" i="2" s="1"/>
  <c r="AC227" i="2" l="1"/>
  <c r="Y227" i="2"/>
  <c r="AB227" i="2" s="1"/>
  <c r="X228" i="2" l="1"/>
  <c r="AA227" i="2"/>
  <c r="Z227" i="2"/>
  <c r="AE227" i="2" s="1"/>
  <c r="S228" i="2" l="1"/>
  <c r="W228" i="2" s="1"/>
  <c r="AC228" i="2" l="1"/>
  <c r="Y228" i="2"/>
  <c r="AB228" i="2" s="1"/>
  <c r="X229" i="2" l="1"/>
  <c r="AA228" i="2"/>
  <c r="Z228" i="2"/>
  <c r="AE228" i="2" s="1"/>
  <c r="S229" i="2" l="1"/>
  <c r="W229" i="2" s="1"/>
  <c r="AC229" i="2" l="1"/>
  <c r="Y229" i="2"/>
  <c r="AB229" i="2" s="1"/>
  <c r="X230" i="2" l="1"/>
  <c r="AA229" i="2"/>
  <c r="Z229" i="2"/>
  <c r="AE229" i="2" s="1"/>
  <c r="S230" i="2" l="1"/>
  <c r="W230" i="2" s="1"/>
  <c r="AC230" i="2" l="1"/>
  <c r="Y230" i="2"/>
  <c r="AB230" i="2" s="1"/>
  <c r="X231" i="2" l="1"/>
  <c r="AA230" i="2"/>
  <c r="Z230" i="2"/>
  <c r="AE230" i="2" s="1"/>
  <c r="S231" i="2" l="1"/>
  <c r="W231" i="2" s="1"/>
  <c r="Y231" i="2" l="1"/>
  <c r="AB231" i="2" s="1"/>
  <c r="AC231" i="2"/>
  <c r="X232" i="2" l="1"/>
  <c r="AA231" i="2"/>
  <c r="Z231" i="2"/>
  <c r="AE231" i="2" s="1"/>
  <c r="S232" i="2" l="1"/>
  <c r="W232" i="2" s="1"/>
  <c r="Y232" i="2" l="1"/>
  <c r="AB232" i="2" s="1"/>
  <c r="AC232" i="2"/>
  <c r="X233" i="2" l="1"/>
  <c r="AA232" i="2"/>
  <c r="Z232" i="2"/>
  <c r="AE232" i="2" s="1"/>
  <c r="S233" i="2" l="1"/>
  <c r="W233" i="2" s="1"/>
  <c r="AC233" i="2" l="1"/>
  <c r="Y233" i="2"/>
  <c r="AB233" i="2" s="1"/>
  <c r="X234" i="2" l="1"/>
  <c r="AA233" i="2"/>
  <c r="Z233" i="2"/>
  <c r="AE233" i="2" s="1"/>
  <c r="S234" i="2" l="1"/>
  <c r="W234" i="2" s="1"/>
  <c r="Y234" i="2" l="1"/>
  <c r="AB234" i="2" s="1"/>
  <c r="AC234" i="2"/>
  <c r="X235" i="2" l="1"/>
  <c r="AA234" i="2"/>
  <c r="Z234" i="2"/>
  <c r="AE234" i="2" s="1"/>
  <c r="S235" i="2" l="1"/>
  <c r="W235" i="2" s="1"/>
  <c r="Y235" i="2" l="1"/>
  <c r="AB235" i="2" s="1"/>
  <c r="AC235" i="2"/>
  <c r="X236" i="2" l="1"/>
  <c r="AA235" i="2"/>
  <c r="Z235" i="2"/>
  <c r="AE235" i="2" s="1"/>
  <c r="S236" i="2" l="1"/>
  <c r="W236" i="2" s="1"/>
  <c r="AC236" i="2" l="1"/>
  <c r="Y236" i="2"/>
  <c r="AB236" i="2" s="1"/>
  <c r="X237" i="2" l="1"/>
  <c r="AA236" i="2"/>
  <c r="Z236" i="2"/>
  <c r="AE236" i="2" s="1"/>
  <c r="S237" i="2" l="1"/>
  <c r="W237" i="2" s="1"/>
  <c r="AC237" i="2" l="1"/>
  <c r="Y237" i="2"/>
  <c r="AB237" i="2" s="1"/>
  <c r="X238" i="2" l="1"/>
  <c r="AA237" i="2"/>
  <c r="Z237" i="2"/>
  <c r="AE237" i="2" s="1"/>
  <c r="S238" i="2" l="1"/>
  <c r="W238" i="2" s="1"/>
  <c r="Y238" i="2" l="1"/>
  <c r="AB238" i="2" s="1"/>
  <c r="AC238" i="2"/>
  <c r="X239" i="2" l="1"/>
  <c r="AA238" i="2"/>
  <c r="Z238" i="2"/>
  <c r="AE238" i="2" s="1"/>
  <c r="S239" i="2" l="1"/>
  <c r="W239" i="2" s="1"/>
  <c r="AC239" i="2" l="1"/>
  <c r="Y239" i="2"/>
  <c r="AB239" i="2" s="1"/>
  <c r="X240" i="2" l="1"/>
  <c r="AA239" i="2"/>
  <c r="Z239" i="2"/>
  <c r="AE239" i="2" s="1"/>
  <c r="S240" i="2" l="1"/>
  <c r="W240" i="2" s="1"/>
  <c r="Y240" i="2" l="1"/>
  <c r="AB240" i="2" s="1"/>
  <c r="AC240" i="2"/>
  <c r="X241" i="2" l="1"/>
  <c r="AA240" i="2"/>
  <c r="Z240" i="2"/>
  <c r="AE240" i="2" s="1"/>
  <c r="S241" i="2" l="1"/>
  <c r="W241" i="2" s="1"/>
  <c r="AC241" i="2" l="1"/>
  <c r="Y241" i="2"/>
  <c r="AB241" i="2" s="1"/>
  <c r="X242" i="2" l="1"/>
  <c r="AA241" i="2"/>
  <c r="Z241" i="2"/>
  <c r="AE241" i="2" s="1"/>
  <c r="S242" i="2" l="1"/>
  <c r="W242" i="2" s="1"/>
  <c r="Y242" i="2" l="1"/>
  <c r="AB242" i="2" s="1"/>
  <c r="AC242" i="2"/>
  <c r="X243" i="2" l="1"/>
  <c r="AA242" i="2"/>
  <c r="Z242" i="2"/>
  <c r="AE242" i="2" s="1"/>
  <c r="S243" i="2" l="1"/>
  <c r="W243" i="2" s="1"/>
  <c r="AC243" i="2" l="1"/>
  <c r="Y243" i="2"/>
  <c r="AB243" i="2" s="1"/>
  <c r="X244" i="2" l="1"/>
  <c r="AA243" i="2"/>
  <c r="Z243" i="2"/>
  <c r="AE243" i="2" s="1"/>
  <c r="S244" i="2" l="1"/>
  <c r="W244" i="2" s="1"/>
  <c r="Y244" i="2" l="1"/>
  <c r="AB244" i="2" s="1"/>
  <c r="AC244" i="2"/>
  <c r="X245" i="2" l="1"/>
  <c r="AA244" i="2"/>
  <c r="Z244" i="2"/>
  <c r="AE244" i="2" s="1"/>
  <c r="S245" i="2" l="1"/>
  <c r="W245" i="2" s="1"/>
  <c r="Y245" i="2" l="1"/>
  <c r="AB245" i="2" s="1"/>
  <c r="AC245" i="2"/>
  <c r="X246" i="2" l="1"/>
  <c r="AA245" i="2"/>
  <c r="Z245" i="2"/>
  <c r="AE245" i="2" s="1"/>
  <c r="S246" i="2" l="1"/>
  <c r="W246" i="2" s="1"/>
  <c r="Y246" i="2" l="1"/>
  <c r="AB246" i="2" s="1"/>
  <c r="AC246" i="2"/>
  <c r="X247" i="2" l="1"/>
  <c r="AA246" i="2"/>
  <c r="Z246" i="2"/>
  <c r="AE246" i="2" s="1"/>
  <c r="S247" i="2" l="1"/>
  <c r="W247" i="2" s="1"/>
  <c r="AC247" i="2" l="1"/>
  <c r="Y247" i="2"/>
  <c r="AB247" i="2" s="1"/>
  <c r="X248" i="2" l="1"/>
  <c r="AA247" i="2"/>
  <c r="Z247" i="2"/>
  <c r="AE247" i="2" s="1"/>
  <c r="S248" i="2" l="1"/>
  <c r="W248" i="2" s="1"/>
  <c r="Y248" i="2" l="1"/>
  <c r="AB248" i="2" s="1"/>
  <c r="AC248" i="2"/>
  <c r="X249" i="2" l="1"/>
  <c r="AA248" i="2"/>
  <c r="Z248" i="2"/>
  <c r="AE248" i="2" s="1"/>
  <c r="S249" i="2" l="1"/>
  <c r="W249" i="2" s="1"/>
  <c r="Y249" i="2" l="1"/>
  <c r="AB249" i="2" s="1"/>
  <c r="AC249" i="2"/>
  <c r="X250" i="2" l="1"/>
  <c r="AA249" i="2"/>
  <c r="Z249" i="2"/>
  <c r="AE249" i="2" s="1"/>
  <c r="S250" i="2" l="1"/>
  <c r="W250" i="2" s="1"/>
  <c r="Y250" i="2" l="1"/>
  <c r="AB250" i="2" s="1"/>
  <c r="AC250" i="2"/>
  <c r="X251" i="2" l="1"/>
  <c r="AA250" i="2"/>
  <c r="Z250" i="2"/>
  <c r="AE250" i="2" s="1"/>
  <c r="S251" i="2" l="1"/>
  <c r="W251" i="2" s="1"/>
  <c r="Y251" i="2" l="1"/>
  <c r="AB251" i="2" s="1"/>
  <c r="AC251" i="2"/>
  <c r="X252" i="2" l="1"/>
  <c r="AA251" i="2"/>
  <c r="Z251" i="2"/>
  <c r="AE251" i="2" s="1"/>
  <c r="S252" i="2" l="1"/>
  <c r="W252" i="2" s="1"/>
  <c r="Y252" i="2" l="1"/>
  <c r="AB252" i="2" s="1"/>
  <c r="AC252" i="2"/>
  <c r="X253" i="2" l="1"/>
  <c r="AA252" i="2"/>
  <c r="Z252" i="2"/>
  <c r="AE252" i="2" s="1"/>
  <c r="S253" i="2" l="1"/>
  <c r="W253" i="2" s="1"/>
  <c r="Y253" i="2" l="1"/>
  <c r="AB253" i="2" s="1"/>
  <c r="AC253" i="2"/>
  <c r="X254" i="2" l="1"/>
  <c r="AA253" i="2"/>
  <c r="Z253" i="2"/>
  <c r="AE253" i="2" s="1"/>
  <c r="S254" i="2" l="1"/>
  <c r="W254" i="2" s="1"/>
  <c r="Y254" i="2" l="1"/>
  <c r="AB254" i="2" s="1"/>
  <c r="AC254" i="2"/>
  <c r="X255" i="2" l="1"/>
  <c r="AA254" i="2"/>
  <c r="Z254" i="2"/>
  <c r="AE254" i="2" s="1"/>
  <c r="S255" i="2" l="1"/>
  <c r="W255" i="2" s="1"/>
  <c r="Y255" i="2" l="1"/>
  <c r="AB255" i="2" s="1"/>
  <c r="AC255" i="2"/>
  <c r="X256" i="2" l="1"/>
  <c r="AA255" i="2"/>
  <c r="Z255" i="2"/>
  <c r="AE255" i="2" s="1"/>
  <c r="S256" i="2" l="1"/>
  <c r="W256" i="2" s="1"/>
  <c r="Y256" i="2" l="1"/>
  <c r="AB256" i="2" s="1"/>
  <c r="AC256" i="2"/>
  <c r="X257" i="2" l="1"/>
  <c r="AA256" i="2"/>
  <c r="Z256" i="2"/>
  <c r="AE256" i="2" s="1"/>
  <c r="S257" i="2" l="1"/>
  <c r="W257" i="2" s="1"/>
  <c r="AC257" i="2" l="1"/>
  <c r="Y257" i="2"/>
  <c r="AB257" i="2" s="1"/>
  <c r="X258" i="2" l="1"/>
  <c r="AA257" i="2"/>
  <c r="Z257" i="2"/>
  <c r="AE257" i="2" s="1"/>
  <c r="S258" i="2" l="1"/>
  <c r="W258" i="2" s="1"/>
  <c r="Y258" i="2" l="1"/>
  <c r="AB258" i="2" s="1"/>
  <c r="AC258" i="2"/>
  <c r="X259" i="2" l="1"/>
  <c r="AA258" i="2"/>
  <c r="Z258" i="2"/>
  <c r="AE258" i="2" s="1"/>
  <c r="S259" i="2" l="1"/>
  <c r="W259" i="2" s="1"/>
  <c r="AC259" i="2" l="1"/>
  <c r="Y259" i="2"/>
  <c r="AB259" i="2" s="1"/>
  <c r="X260" i="2" l="1"/>
  <c r="AA259" i="2"/>
  <c r="Z259" i="2"/>
  <c r="AE259" i="2" s="1"/>
  <c r="S260" i="2" l="1"/>
  <c r="W260" i="2" s="1"/>
  <c r="AC260" i="2" l="1"/>
  <c r="Y260" i="2"/>
  <c r="AB260" i="2" s="1"/>
  <c r="X261" i="2" l="1"/>
  <c r="AA260" i="2"/>
  <c r="Z260" i="2"/>
  <c r="AE260" i="2" s="1"/>
  <c r="S261" i="2" l="1"/>
  <c r="W261" i="2" s="1"/>
  <c r="Y261" i="2" l="1"/>
  <c r="AB261" i="2" s="1"/>
  <c r="AC261" i="2"/>
  <c r="X262" i="2" l="1"/>
  <c r="AA261" i="2"/>
  <c r="Z261" i="2"/>
  <c r="AE261" i="2" s="1"/>
  <c r="S262" i="2" l="1"/>
  <c r="W262" i="2" s="1"/>
  <c r="AC262" i="2" l="1"/>
  <c r="Y262" i="2"/>
  <c r="AB262" i="2" s="1"/>
  <c r="X263" i="2" l="1"/>
  <c r="AA262" i="2"/>
  <c r="Z262" i="2"/>
  <c r="AE262" i="2" s="1"/>
  <c r="S263" i="2" l="1"/>
  <c r="W263" i="2" s="1"/>
  <c r="AC263" i="2" l="1"/>
  <c r="Y263" i="2"/>
  <c r="AB263" i="2" s="1"/>
  <c r="X264" i="2" l="1"/>
  <c r="AA263" i="2"/>
  <c r="Z263" i="2"/>
  <c r="AE263" i="2" s="1"/>
  <c r="S264" i="2" l="1"/>
  <c r="W264" i="2" s="1"/>
  <c r="AC264" i="2" l="1"/>
  <c r="Y264" i="2"/>
  <c r="AB264" i="2" s="1"/>
  <c r="X265" i="2" l="1"/>
  <c r="AA264" i="2"/>
  <c r="Z264" i="2"/>
  <c r="AE264" i="2" s="1"/>
  <c r="S265" i="2" l="1"/>
  <c r="W265" i="2" s="1"/>
  <c r="AC265" i="2" l="1"/>
  <c r="Y265" i="2"/>
  <c r="AB265" i="2" s="1"/>
  <c r="X266" i="2" l="1"/>
  <c r="AA265" i="2"/>
  <c r="Z265" i="2"/>
  <c r="AE265" i="2" s="1"/>
  <c r="S266" i="2" l="1"/>
  <c r="W266" i="2" s="1"/>
  <c r="Y266" i="2" l="1"/>
  <c r="AB266" i="2" s="1"/>
  <c r="AC266" i="2"/>
  <c r="X267" i="2" l="1"/>
  <c r="AA266" i="2"/>
  <c r="Z266" i="2"/>
  <c r="AE266" i="2" s="1"/>
  <c r="S267" i="2" l="1"/>
  <c r="W267" i="2" s="1"/>
  <c r="Y267" i="2" l="1"/>
  <c r="AB267" i="2" s="1"/>
  <c r="AC267" i="2"/>
  <c r="X268" i="2" l="1"/>
  <c r="AA267" i="2"/>
  <c r="Z267" i="2"/>
  <c r="AE267" i="2" s="1"/>
  <c r="S268" i="2" l="1"/>
  <c r="W268" i="2" s="1"/>
  <c r="AC268" i="2" l="1"/>
  <c r="Y268" i="2"/>
  <c r="AB268" i="2" s="1"/>
  <c r="X269" i="2" l="1"/>
  <c r="AA268" i="2"/>
  <c r="Z268" i="2"/>
  <c r="AE268" i="2" s="1"/>
  <c r="S269" i="2" l="1"/>
  <c r="W269" i="2" s="1"/>
  <c r="Y269" i="2" l="1"/>
  <c r="AB269" i="2" s="1"/>
  <c r="AC269" i="2"/>
  <c r="X270" i="2" l="1"/>
  <c r="AA269" i="2"/>
  <c r="Z269" i="2"/>
  <c r="AE269" i="2" s="1"/>
  <c r="S270" i="2" l="1"/>
  <c r="W270" i="2" s="1"/>
  <c r="Y270" i="2" l="1"/>
  <c r="AB270" i="2" s="1"/>
  <c r="AC270" i="2"/>
  <c r="X271" i="2" l="1"/>
  <c r="AA270" i="2"/>
  <c r="Z270" i="2"/>
  <c r="AE270" i="2" s="1"/>
  <c r="S271" i="2" l="1"/>
  <c r="W271" i="2" s="1"/>
  <c r="Y271" i="2" l="1"/>
  <c r="AB271" i="2" s="1"/>
  <c r="AC271" i="2"/>
  <c r="X272" i="2" l="1"/>
  <c r="AA271" i="2"/>
  <c r="Z271" i="2"/>
  <c r="AE271" i="2" s="1"/>
  <c r="S272" i="2" l="1"/>
  <c r="W272" i="2" s="1"/>
  <c r="Y272" i="2" l="1"/>
  <c r="AB272" i="2" s="1"/>
  <c r="AC272" i="2"/>
  <c r="X273" i="2" l="1"/>
  <c r="AA272" i="2"/>
  <c r="Z272" i="2"/>
  <c r="AE272" i="2" s="1"/>
  <c r="S273" i="2" l="1"/>
  <c r="W273" i="2" s="1"/>
  <c r="AC273" i="2" l="1"/>
  <c r="Y273" i="2"/>
  <c r="AB273" i="2" s="1"/>
  <c r="X274" i="2" l="1"/>
  <c r="AA273" i="2"/>
  <c r="Z273" i="2"/>
  <c r="AE273" i="2" s="1"/>
  <c r="S274" i="2" l="1"/>
  <c r="W274" i="2" s="1"/>
  <c r="Y274" i="2" l="1"/>
  <c r="AB274" i="2" s="1"/>
  <c r="AC274" i="2"/>
  <c r="X275" i="2" l="1"/>
  <c r="AA274" i="2"/>
  <c r="Z274" i="2"/>
  <c r="AE274" i="2" s="1"/>
  <c r="S275" i="2" l="1"/>
  <c r="W275" i="2" s="1"/>
  <c r="AC275" i="2" l="1"/>
  <c r="Y275" i="2"/>
  <c r="AB275" i="2" s="1"/>
  <c r="X276" i="2" l="1"/>
  <c r="AA275" i="2"/>
  <c r="Z275" i="2"/>
  <c r="AE275" i="2" s="1"/>
  <c r="S276" i="2" l="1"/>
  <c r="W276" i="2" s="1"/>
  <c r="Y276" i="2" l="1"/>
  <c r="AB276" i="2" s="1"/>
  <c r="AC276" i="2"/>
  <c r="X277" i="2" l="1"/>
  <c r="AA276" i="2"/>
  <c r="Z276" i="2"/>
  <c r="AE276" i="2" s="1"/>
  <c r="S277" i="2" l="1"/>
  <c r="W277" i="2" s="1"/>
  <c r="AC277" i="2" l="1"/>
  <c r="Y277" i="2"/>
  <c r="AB277" i="2" s="1"/>
  <c r="X278" i="2" l="1"/>
  <c r="AA277" i="2"/>
  <c r="Z277" i="2"/>
  <c r="AE277" i="2" s="1"/>
  <c r="S278" i="2" l="1"/>
  <c r="W278" i="2" s="1"/>
  <c r="AC278" i="2" l="1"/>
  <c r="Y278" i="2"/>
  <c r="AB278" i="2" s="1"/>
  <c r="X279" i="2" l="1"/>
  <c r="AA278" i="2"/>
  <c r="Z278" i="2"/>
  <c r="AE278" i="2" s="1"/>
  <c r="S279" i="2" l="1"/>
  <c r="W279" i="2" s="1"/>
  <c r="AC279" i="2" l="1"/>
  <c r="Y279" i="2"/>
  <c r="AB279" i="2" s="1"/>
  <c r="X280" i="2" l="1"/>
  <c r="AA279" i="2"/>
  <c r="Z279" i="2"/>
  <c r="AE279" i="2" s="1"/>
  <c r="S280" i="2" l="1"/>
  <c r="W280" i="2" s="1"/>
  <c r="Y280" i="2" l="1"/>
  <c r="AB280" i="2" s="1"/>
  <c r="AC280" i="2"/>
  <c r="X281" i="2" l="1"/>
  <c r="AA280" i="2"/>
  <c r="Z280" i="2"/>
  <c r="AE280" i="2" s="1"/>
  <c r="S281" i="2" l="1"/>
  <c r="W281" i="2" s="1"/>
  <c r="Y281" i="2" l="1"/>
  <c r="AB281" i="2" s="1"/>
  <c r="AC281" i="2"/>
  <c r="X282" i="2" l="1"/>
  <c r="AA281" i="2"/>
  <c r="Z281" i="2"/>
  <c r="AE281" i="2" s="1"/>
  <c r="S282" i="2" l="1"/>
  <c r="W282" i="2" s="1"/>
  <c r="AC282" i="2" l="1"/>
  <c r="Y282" i="2"/>
  <c r="AB282" i="2" s="1"/>
  <c r="X283" i="2" l="1"/>
  <c r="AA282" i="2"/>
  <c r="Z282" i="2"/>
  <c r="AE282" i="2" s="1"/>
  <c r="S283" i="2" l="1"/>
  <c r="W283" i="2" s="1"/>
  <c r="Y283" i="2" l="1"/>
  <c r="AB283" i="2" s="1"/>
  <c r="AC283" i="2"/>
  <c r="X284" i="2" l="1"/>
  <c r="AA283" i="2"/>
  <c r="Z283" i="2"/>
  <c r="AE283" i="2" s="1"/>
  <c r="S284" i="2" l="1"/>
  <c r="W284" i="2" s="1"/>
  <c r="AC284" i="2" l="1"/>
  <c r="Y284" i="2"/>
  <c r="AB284" i="2" s="1"/>
  <c r="X285" i="2" l="1"/>
  <c r="AA284" i="2"/>
  <c r="Z284" i="2"/>
  <c r="AE284" i="2" s="1"/>
  <c r="S285" i="2" l="1"/>
  <c r="W285" i="2" s="1"/>
  <c r="Y285" i="2" l="1"/>
  <c r="AB285" i="2" s="1"/>
  <c r="AC285" i="2"/>
  <c r="X286" i="2" l="1"/>
  <c r="AA285" i="2"/>
  <c r="Z285" i="2"/>
  <c r="AE285" i="2" s="1"/>
  <c r="S286" i="2" l="1"/>
  <c r="W286" i="2" s="1"/>
  <c r="AC286" i="2" l="1"/>
  <c r="Y286" i="2"/>
  <c r="AB286" i="2" s="1"/>
  <c r="X287" i="2" l="1"/>
  <c r="AA286" i="2"/>
  <c r="Z286" i="2"/>
  <c r="AE286" i="2" s="1"/>
  <c r="S287" i="2" l="1"/>
  <c r="W287" i="2" s="1"/>
  <c r="Y287" i="2" l="1"/>
  <c r="AB287" i="2" s="1"/>
  <c r="AC287" i="2"/>
  <c r="X288" i="2" l="1"/>
  <c r="AA287" i="2"/>
  <c r="Z287" i="2"/>
  <c r="AE287" i="2" s="1"/>
  <c r="S288" i="2" l="1"/>
  <c r="W288" i="2" s="1"/>
  <c r="AC288" i="2" l="1"/>
  <c r="Y288" i="2"/>
  <c r="AB288" i="2" s="1"/>
  <c r="X289" i="2" l="1"/>
  <c r="AA288" i="2"/>
  <c r="Z288" i="2"/>
  <c r="AE288" i="2" s="1"/>
  <c r="S289" i="2" l="1"/>
  <c r="W289" i="2" s="1"/>
  <c r="Y289" i="2" l="1"/>
  <c r="AB289" i="2" s="1"/>
  <c r="AC289" i="2"/>
  <c r="X290" i="2" l="1"/>
  <c r="AA289" i="2"/>
  <c r="Z289" i="2"/>
  <c r="AE289" i="2" s="1"/>
  <c r="S290" i="2" l="1"/>
  <c r="W290" i="2" s="1"/>
  <c r="AC290" i="2" l="1"/>
  <c r="Y290" i="2"/>
  <c r="AB290" i="2" s="1"/>
  <c r="X291" i="2" l="1"/>
  <c r="AA290" i="2"/>
  <c r="Z290" i="2"/>
  <c r="AE290" i="2" s="1"/>
  <c r="S291" i="2" l="1"/>
  <c r="W291" i="2" s="1"/>
  <c r="AC291" i="2" l="1"/>
  <c r="Y291" i="2"/>
  <c r="AB291" i="2" s="1"/>
  <c r="X292" i="2" l="1"/>
  <c r="AA291" i="2"/>
  <c r="Z291" i="2"/>
  <c r="AE291" i="2" s="1"/>
  <c r="S292" i="2" l="1"/>
  <c r="W292" i="2" s="1"/>
  <c r="Y292" i="2" l="1"/>
  <c r="AB292" i="2" s="1"/>
  <c r="AC292" i="2"/>
  <c r="X293" i="2" l="1"/>
  <c r="AA292" i="2"/>
  <c r="Z292" i="2"/>
  <c r="AE292" i="2" s="1"/>
  <c r="S293" i="2" l="1"/>
  <c r="W293" i="2" s="1"/>
  <c r="AC293" i="2" l="1"/>
  <c r="Y293" i="2"/>
  <c r="AB293" i="2" s="1"/>
  <c r="X294" i="2" l="1"/>
  <c r="AA293" i="2"/>
  <c r="Z293" i="2"/>
  <c r="AE293" i="2" s="1"/>
  <c r="S294" i="2" l="1"/>
  <c r="W294" i="2" s="1"/>
  <c r="AC294" i="2" l="1"/>
  <c r="Y294" i="2"/>
  <c r="AB294" i="2" s="1"/>
  <c r="X295" i="2" l="1"/>
  <c r="AA294" i="2"/>
  <c r="Z294" i="2"/>
  <c r="AE294" i="2" s="1"/>
  <c r="S295" i="2" l="1"/>
  <c r="W295" i="2" s="1"/>
  <c r="AC295" i="2" l="1"/>
  <c r="Y295" i="2"/>
  <c r="AB295" i="2" s="1"/>
  <c r="X296" i="2" l="1"/>
  <c r="AA295" i="2"/>
  <c r="Z295" i="2"/>
  <c r="AE295" i="2" s="1"/>
  <c r="S296" i="2" l="1"/>
  <c r="W296" i="2" s="1"/>
  <c r="AC296" i="2" l="1"/>
  <c r="Y296" i="2"/>
  <c r="AB296" i="2" s="1"/>
  <c r="X297" i="2" l="1"/>
  <c r="AA296" i="2"/>
  <c r="Z296" i="2"/>
  <c r="AE296" i="2" s="1"/>
  <c r="S297" i="2" l="1"/>
  <c r="W297" i="2" s="1"/>
  <c r="Y297" i="2" l="1"/>
  <c r="AB297" i="2" s="1"/>
  <c r="AC297" i="2"/>
  <c r="X298" i="2" l="1"/>
  <c r="AA297" i="2"/>
  <c r="Z297" i="2"/>
  <c r="AE297" i="2" s="1"/>
  <c r="S298" i="2" l="1"/>
  <c r="W298" i="2" s="1"/>
  <c r="Y298" i="2" l="1"/>
  <c r="AB298" i="2" s="1"/>
  <c r="AC298" i="2"/>
  <c r="X299" i="2" l="1"/>
  <c r="AA298" i="2"/>
  <c r="Z298" i="2"/>
  <c r="AE298" i="2" s="1"/>
  <c r="S299" i="2" l="1"/>
  <c r="W299" i="2" s="1"/>
  <c r="AC299" i="2" l="1"/>
  <c r="Y299" i="2"/>
  <c r="AB299" i="2" s="1"/>
  <c r="X300" i="2" l="1"/>
  <c r="AA299" i="2"/>
  <c r="Z299" i="2"/>
  <c r="AE299" i="2" s="1"/>
  <c r="S300" i="2" l="1"/>
  <c r="W300" i="2" s="1"/>
  <c r="Y300" i="2" l="1"/>
  <c r="AB300" i="2" s="1"/>
  <c r="AC300" i="2"/>
  <c r="X301" i="2" l="1"/>
  <c r="AA300" i="2"/>
  <c r="Z300" i="2"/>
  <c r="AE300" i="2" s="1"/>
  <c r="S301" i="2" l="1"/>
  <c r="W301" i="2" s="1"/>
  <c r="Y301" i="2" l="1"/>
  <c r="AB301" i="2" s="1"/>
  <c r="AC301" i="2"/>
  <c r="X302" i="2" l="1"/>
  <c r="AA301" i="2"/>
  <c r="Z301" i="2"/>
  <c r="AE301" i="2" s="1"/>
  <c r="S302" i="2" l="1"/>
  <c r="W302" i="2" s="1"/>
  <c r="AC302" i="2" l="1"/>
  <c r="Y302" i="2"/>
  <c r="AB302" i="2" s="1"/>
  <c r="X303" i="2" l="1"/>
  <c r="AA302" i="2"/>
  <c r="Z302" i="2"/>
  <c r="AE302" i="2" s="1"/>
  <c r="S303" i="2" l="1"/>
  <c r="W303" i="2" s="1"/>
  <c r="Y303" i="2" l="1"/>
  <c r="AB303" i="2" s="1"/>
  <c r="AC303" i="2"/>
  <c r="X304" i="2" l="1"/>
  <c r="AA303" i="2"/>
  <c r="Z303" i="2"/>
  <c r="AE303" i="2" s="1"/>
  <c r="S304" i="2" l="1"/>
  <c r="W304" i="2" s="1"/>
  <c r="AC304" i="2" l="1"/>
  <c r="Y304" i="2"/>
  <c r="AB304" i="2" s="1"/>
  <c r="X305" i="2" l="1"/>
  <c r="AA304" i="2"/>
  <c r="Z304" i="2"/>
  <c r="AE304" i="2" s="1"/>
  <c r="S305" i="2" l="1"/>
  <c r="W305" i="2" s="1"/>
  <c r="Y305" i="2" l="1"/>
  <c r="AB305" i="2" s="1"/>
  <c r="AC305" i="2"/>
  <c r="X306" i="2" l="1"/>
  <c r="AA305" i="2"/>
  <c r="Z305" i="2"/>
  <c r="AE305" i="2" s="1"/>
  <c r="S306" i="2" l="1"/>
  <c r="W306" i="2" s="1"/>
  <c r="AC306" i="2" l="1"/>
  <c r="Y306" i="2"/>
  <c r="AB306" i="2" s="1"/>
  <c r="X307" i="2" l="1"/>
  <c r="AA306" i="2"/>
  <c r="Z306" i="2"/>
  <c r="AE306" i="2" s="1"/>
  <c r="S307" i="2" l="1"/>
  <c r="W307" i="2" s="1"/>
  <c r="Y307" i="2" l="1"/>
  <c r="AB307" i="2" s="1"/>
  <c r="AC307" i="2"/>
  <c r="X308" i="2" l="1"/>
  <c r="AA307" i="2"/>
  <c r="Z307" i="2"/>
  <c r="AE307" i="2" s="1"/>
  <c r="S308" i="2" l="1"/>
  <c r="W308" i="2" s="1"/>
  <c r="AC308" i="2" l="1"/>
  <c r="Y308" i="2"/>
  <c r="AB308" i="2" s="1"/>
  <c r="X309" i="2" l="1"/>
  <c r="AA308" i="2"/>
  <c r="Z308" i="2"/>
  <c r="AE308" i="2" s="1"/>
  <c r="S309" i="2" l="1"/>
  <c r="W309" i="2" s="1"/>
  <c r="Y309" i="2" l="1"/>
  <c r="AB309" i="2" s="1"/>
  <c r="AC309" i="2"/>
  <c r="X310" i="2" l="1"/>
  <c r="AA309" i="2"/>
  <c r="Z309" i="2"/>
  <c r="AE309" i="2" s="1"/>
  <c r="S310" i="2" l="1"/>
  <c r="W310" i="2" s="1"/>
  <c r="AC310" i="2" l="1"/>
  <c r="Y310" i="2"/>
  <c r="AB310" i="2" s="1"/>
  <c r="X311" i="2" l="1"/>
  <c r="AA310" i="2"/>
  <c r="Z310" i="2"/>
  <c r="AE310" i="2" s="1"/>
  <c r="S311" i="2" l="1"/>
  <c r="W311" i="2" s="1"/>
  <c r="Y311" i="2" l="1"/>
  <c r="AB311" i="2" s="1"/>
  <c r="AC311" i="2"/>
  <c r="X312" i="2" l="1"/>
  <c r="AA311" i="2"/>
  <c r="Z311" i="2"/>
  <c r="AE311" i="2" s="1"/>
  <c r="S312" i="2" l="1"/>
  <c r="W312" i="2" s="1"/>
  <c r="Y312" i="2" l="1"/>
  <c r="AB312" i="2" s="1"/>
  <c r="AC312" i="2"/>
  <c r="X313" i="2" l="1"/>
  <c r="AA312" i="2"/>
  <c r="Z312" i="2"/>
  <c r="AE312" i="2" s="1"/>
  <c r="S313" i="2" l="1"/>
  <c r="W313" i="2" s="1"/>
  <c r="Y313" i="2" l="1"/>
  <c r="AB313" i="2" s="1"/>
  <c r="AC313" i="2"/>
  <c r="X314" i="2" l="1"/>
  <c r="AA313" i="2"/>
  <c r="Z313" i="2"/>
  <c r="AE313" i="2" s="1"/>
  <c r="S314" i="2" l="1"/>
  <c r="W314" i="2" s="1"/>
  <c r="Y314" i="2" l="1"/>
  <c r="AB314" i="2" s="1"/>
  <c r="AC314" i="2"/>
  <c r="X315" i="2" l="1"/>
  <c r="AA314" i="2"/>
  <c r="Z314" i="2"/>
  <c r="AE314" i="2" s="1"/>
  <c r="S315" i="2" l="1"/>
  <c r="W315" i="2" s="1"/>
  <c r="Y315" i="2" l="1"/>
  <c r="AB315" i="2" s="1"/>
  <c r="AC315" i="2"/>
  <c r="X316" i="2" l="1"/>
  <c r="AA315" i="2"/>
  <c r="Z315" i="2"/>
  <c r="AE315" i="2" s="1"/>
  <c r="S316" i="2" l="1"/>
  <c r="W316" i="2" s="1"/>
  <c r="Y316" i="2" l="1"/>
  <c r="AB316" i="2" s="1"/>
  <c r="AC316" i="2"/>
  <c r="X317" i="2" l="1"/>
  <c r="AA316" i="2"/>
  <c r="Z316" i="2"/>
  <c r="AE316" i="2" s="1"/>
  <c r="S317" i="2" l="1"/>
  <c r="W317" i="2" s="1"/>
  <c r="AC317" i="2" l="1"/>
  <c r="Y317" i="2"/>
  <c r="AB317" i="2" s="1"/>
  <c r="X318" i="2" l="1"/>
  <c r="AA317" i="2"/>
  <c r="Z317" i="2"/>
  <c r="AE317" i="2" s="1"/>
  <c r="S318" i="2" l="1"/>
  <c r="W318" i="2" s="1"/>
  <c r="AC318" i="2" l="1"/>
  <c r="Y318" i="2"/>
  <c r="AB318" i="2" s="1"/>
  <c r="X319" i="2" l="1"/>
  <c r="AA318" i="2"/>
  <c r="Z318" i="2"/>
  <c r="AE318" i="2" s="1"/>
  <c r="S319" i="2" l="1"/>
  <c r="W319" i="2" s="1"/>
  <c r="Y319" i="2" l="1"/>
  <c r="AB319" i="2" s="1"/>
  <c r="AC319" i="2"/>
  <c r="X320" i="2" l="1"/>
  <c r="AA319" i="2"/>
  <c r="Z319" i="2"/>
  <c r="AE319" i="2" s="1"/>
  <c r="S320" i="2" l="1"/>
  <c r="W320" i="2" s="1"/>
  <c r="Y320" i="2" l="1"/>
  <c r="AB320" i="2" s="1"/>
  <c r="AC320" i="2"/>
  <c r="X321" i="2" l="1"/>
  <c r="AA320" i="2"/>
  <c r="Z320" i="2"/>
  <c r="AE320" i="2" s="1"/>
  <c r="S321" i="2" l="1"/>
  <c r="W321" i="2" s="1"/>
  <c r="AC321" i="2" l="1"/>
  <c r="Y321" i="2"/>
  <c r="AB321" i="2" s="1"/>
  <c r="X322" i="2" l="1"/>
  <c r="AA321" i="2"/>
  <c r="Z321" i="2"/>
  <c r="AE321" i="2" s="1"/>
  <c r="S322" i="2" l="1"/>
  <c r="W322" i="2" s="1"/>
  <c r="AC322" i="2" l="1"/>
  <c r="Y322" i="2"/>
  <c r="AB322" i="2" s="1"/>
  <c r="X323" i="2" l="1"/>
  <c r="AA322" i="2"/>
  <c r="Z322" i="2"/>
  <c r="AE322" i="2" s="1"/>
  <c r="S323" i="2" l="1"/>
  <c r="W323" i="2" s="1"/>
  <c r="AC323" i="2" l="1"/>
  <c r="Y323" i="2"/>
  <c r="AB323" i="2" s="1"/>
  <c r="X324" i="2" l="1"/>
  <c r="AA323" i="2"/>
  <c r="Z323" i="2"/>
  <c r="AE323" i="2" s="1"/>
  <c r="S324" i="2" l="1"/>
  <c r="W324" i="2" s="1"/>
  <c r="AC324" i="2" l="1"/>
  <c r="Y324" i="2"/>
  <c r="AB324" i="2" s="1"/>
  <c r="X325" i="2" l="1"/>
  <c r="AA324" i="2"/>
  <c r="Z324" i="2"/>
  <c r="AE324" i="2" s="1"/>
  <c r="S325" i="2" l="1"/>
  <c r="W325" i="2" s="1"/>
  <c r="Y325" i="2" l="1"/>
  <c r="AB325" i="2" s="1"/>
  <c r="AC325" i="2"/>
  <c r="X326" i="2" l="1"/>
  <c r="AA325" i="2"/>
  <c r="Z325" i="2"/>
  <c r="AE325" i="2" s="1"/>
  <c r="S326" i="2" l="1"/>
  <c r="W326" i="2" s="1"/>
  <c r="Y326" i="2" l="1"/>
  <c r="AB326" i="2" s="1"/>
  <c r="AC326" i="2"/>
  <c r="X327" i="2" l="1"/>
  <c r="AA326" i="2"/>
  <c r="Z326" i="2"/>
  <c r="AE326" i="2" s="1"/>
  <c r="S327" i="2" l="1"/>
  <c r="W327" i="2" s="1"/>
  <c r="AC327" i="2" l="1"/>
  <c r="Y327" i="2"/>
  <c r="AB327" i="2" s="1"/>
  <c r="X328" i="2" l="1"/>
  <c r="AA327" i="2"/>
  <c r="Z327" i="2"/>
  <c r="AE327" i="2" s="1"/>
  <c r="S328" i="2" l="1"/>
  <c r="W328" i="2" s="1"/>
  <c r="AC328" i="2" l="1"/>
  <c r="Y328" i="2"/>
  <c r="AB328" i="2" s="1"/>
  <c r="X329" i="2" l="1"/>
  <c r="AA328" i="2"/>
  <c r="Z328" i="2"/>
  <c r="AE328" i="2" s="1"/>
  <c r="S329" i="2" l="1"/>
  <c r="W329" i="2" s="1"/>
  <c r="AC329" i="2" l="1"/>
  <c r="Y329" i="2"/>
  <c r="AB329" i="2" s="1"/>
  <c r="X330" i="2" l="1"/>
  <c r="AA329" i="2"/>
  <c r="Z329" i="2"/>
  <c r="AE329" i="2" s="1"/>
  <c r="S330" i="2" l="1"/>
  <c r="W330" i="2" s="1"/>
  <c r="AC330" i="2" l="1"/>
  <c r="Y330" i="2"/>
  <c r="AB330" i="2" s="1"/>
  <c r="X331" i="2" l="1"/>
  <c r="AA330" i="2"/>
  <c r="Z330" i="2"/>
  <c r="AE330" i="2" s="1"/>
  <c r="S331" i="2" l="1"/>
  <c r="W331" i="2" s="1"/>
  <c r="Y331" i="2" l="1"/>
  <c r="AB331" i="2" s="1"/>
  <c r="AC331" i="2"/>
  <c r="X332" i="2" l="1"/>
  <c r="AA331" i="2"/>
  <c r="Z331" i="2"/>
  <c r="AE331" i="2" s="1"/>
  <c r="S332" i="2" l="1"/>
  <c r="W332" i="2" s="1"/>
  <c r="Y332" i="2" l="1"/>
  <c r="AB332" i="2" s="1"/>
  <c r="AC332" i="2"/>
  <c r="X333" i="2" l="1"/>
  <c r="AA332" i="2"/>
  <c r="Z332" i="2"/>
  <c r="AE332" i="2" s="1"/>
  <c r="S333" i="2" l="1"/>
  <c r="W333" i="2" s="1"/>
  <c r="Y333" i="2" l="1"/>
  <c r="AB333" i="2" s="1"/>
  <c r="AC333" i="2"/>
  <c r="X334" i="2" l="1"/>
  <c r="AA333" i="2"/>
  <c r="Z333" i="2"/>
  <c r="AE333" i="2" s="1"/>
  <c r="S334" i="2" l="1"/>
  <c r="W334" i="2" s="1"/>
  <c r="AC334" i="2" l="1"/>
  <c r="Y334" i="2"/>
  <c r="AB334" i="2" s="1"/>
  <c r="X335" i="2" l="1"/>
  <c r="AA334" i="2"/>
  <c r="Z334" i="2"/>
  <c r="AE334" i="2" s="1"/>
  <c r="S335" i="2" l="1"/>
  <c r="W335" i="2" s="1"/>
  <c r="Y335" i="2" l="1"/>
  <c r="AB335" i="2" s="1"/>
  <c r="AC335" i="2"/>
  <c r="X336" i="2" l="1"/>
  <c r="AA335" i="2"/>
  <c r="Z335" i="2"/>
  <c r="AE335" i="2" s="1"/>
  <c r="S336" i="2" l="1"/>
  <c r="W336" i="2" s="1"/>
  <c r="Y336" i="2" l="1"/>
  <c r="AB336" i="2" s="1"/>
  <c r="AC336" i="2"/>
  <c r="X337" i="2" l="1"/>
  <c r="AA336" i="2"/>
  <c r="Z336" i="2"/>
  <c r="AE336" i="2" s="1"/>
  <c r="S337" i="2" l="1"/>
  <c r="W337" i="2" s="1"/>
  <c r="Y337" i="2" l="1"/>
  <c r="AB337" i="2" s="1"/>
  <c r="AC337" i="2"/>
  <c r="X338" i="2" l="1"/>
  <c r="AA337" i="2"/>
  <c r="Z337" i="2"/>
  <c r="AE337" i="2" s="1"/>
  <c r="S338" i="2" l="1"/>
  <c r="W338" i="2" s="1"/>
  <c r="AC338" i="2" l="1"/>
  <c r="Y338" i="2"/>
  <c r="AB338" i="2" s="1"/>
  <c r="X339" i="2" l="1"/>
  <c r="AA338" i="2"/>
  <c r="Z338" i="2"/>
  <c r="AE338" i="2" s="1"/>
  <c r="S339" i="2" l="1"/>
  <c r="W339" i="2" s="1"/>
  <c r="Y339" i="2" l="1"/>
  <c r="AB339" i="2" s="1"/>
  <c r="AC339" i="2"/>
  <c r="X340" i="2" l="1"/>
  <c r="AA339" i="2"/>
  <c r="Z339" i="2"/>
  <c r="AE339" i="2" s="1"/>
  <c r="S340" i="2" l="1"/>
  <c r="W340" i="2" s="1"/>
  <c r="Y340" i="2" l="1"/>
  <c r="AB340" i="2" s="1"/>
  <c r="AC340" i="2"/>
  <c r="X341" i="2" l="1"/>
  <c r="AA340" i="2"/>
  <c r="Z340" i="2"/>
  <c r="AE340" i="2" s="1"/>
  <c r="S341" i="2" l="1"/>
  <c r="W341" i="2" s="1"/>
  <c r="Y341" i="2" l="1"/>
  <c r="AB341" i="2" s="1"/>
  <c r="AC341" i="2"/>
  <c r="X342" i="2" l="1"/>
  <c r="AA341" i="2"/>
  <c r="Z341" i="2"/>
  <c r="AE341" i="2" s="1"/>
  <c r="S342" i="2" l="1"/>
  <c r="W342" i="2" s="1"/>
  <c r="AC342" i="2" l="1"/>
  <c r="Y342" i="2"/>
  <c r="AB342" i="2" s="1"/>
  <c r="X343" i="2" l="1"/>
  <c r="AA342" i="2"/>
  <c r="Z342" i="2"/>
  <c r="AE342" i="2" s="1"/>
  <c r="S343" i="2" l="1"/>
  <c r="W343" i="2" s="1"/>
  <c r="Y343" i="2" l="1"/>
  <c r="AB343" i="2" s="1"/>
  <c r="AC343" i="2"/>
  <c r="X344" i="2" l="1"/>
  <c r="AA343" i="2"/>
  <c r="Z343" i="2"/>
  <c r="AE343" i="2" s="1"/>
  <c r="S344" i="2" l="1"/>
  <c r="W344" i="2" s="1"/>
  <c r="AC344" i="2" l="1"/>
  <c r="Y344" i="2"/>
  <c r="AB344" i="2" s="1"/>
  <c r="X345" i="2" l="1"/>
  <c r="AA344" i="2"/>
  <c r="Z344" i="2"/>
  <c r="AE344" i="2" s="1"/>
  <c r="S345" i="2" l="1"/>
  <c r="W345" i="2" s="1"/>
  <c r="Y345" i="2" l="1"/>
  <c r="AB345" i="2" s="1"/>
  <c r="AC345" i="2"/>
  <c r="X346" i="2" l="1"/>
  <c r="AA345" i="2"/>
  <c r="Z345" i="2"/>
  <c r="AE345" i="2" s="1"/>
  <c r="S346" i="2" l="1"/>
  <c r="W346" i="2" s="1"/>
  <c r="AC346" i="2" l="1"/>
  <c r="Y346" i="2"/>
  <c r="AB346" i="2" s="1"/>
  <c r="X347" i="2" l="1"/>
  <c r="AA346" i="2"/>
  <c r="Z346" i="2"/>
  <c r="AE346" i="2" s="1"/>
  <c r="S347" i="2" l="1"/>
  <c r="W347" i="2" s="1"/>
  <c r="AC347" i="2" l="1"/>
  <c r="Y347" i="2"/>
  <c r="AB347" i="2" s="1"/>
  <c r="X348" i="2" l="1"/>
  <c r="AA347" i="2"/>
  <c r="Z347" i="2"/>
  <c r="AE347" i="2" s="1"/>
  <c r="S348" i="2" l="1"/>
  <c r="W348" i="2" s="1"/>
  <c r="Y348" i="2" l="1"/>
  <c r="AB348" i="2" s="1"/>
  <c r="AC348" i="2"/>
  <c r="X349" i="2" l="1"/>
  <c r="AA348" i="2"/>
  <c r="Z348" i="2"/>
  <c r="AE348" i="2" s="1"/>
  <c r="S349" i="2" l="1"/>
  <c r="W349" i="2" s="1"/>
  <c r="Y349" i="2" l="1"/>
  <c r="AB349" i="2" s="1"/>
  <c r="AC349" i="2"/>
  <c r="X350" i="2" l="1"/>
  <c r="AA349" i="2"/>
  <c r="Z349" i="2"/>
  <c r="AE349" i="2" s="1"/>
  <c r="S350" i="2" l="1"/>
  <c r="W350" i="2" s="1"/>
  <c r="AC350" i="2" l="1"/>
  <c r="Y350" i="2"/>
  <c r="AB350" i="2" s="1"/>
  <c r="X351" i="2" l="1"/>
  <c r="AA350" i="2"/>
  <c r="Z350" i="2"/>
  <c r="AE350" i="2" s="1"/>
  <c r="S351" i="2" l="1"/>
  <c r="W351" i="2" s="1"/>
  <c r="Y351" i="2" l="1"/>
  <c r="AB351" i="2" s="1"/>
  <c r="AC351" i="2"/>
  <c r="X352" i="2" l="1"/>
  <c r="AA351" i="2"/>
  <c r="Z351" i="2"/>
  <c r="AE351" i="2" s="1"/>
  <c r="S352" i="2" l="1"/>
  <c r="W352" i="2" s="1"/>
  <c r="AC352" i="2" l="1"/>
  <c r="Y352" i="2"/>
  <c r="AB352" i="2" s="1"/>
  <c r="X353" i="2" l="1"/>
  <c r="AA352" i="2"/>
  <c r="Z352" i="2"/>
  <c r="AE352" i="2" s="1"/>
  <c r="S353" i="2" l="1"/>
  <c r="W353" i="2" s="1"/>
  <c r="Y353" i="2" l="1"/>
  <c r="AB353" i="2" s="1"/>
  <c r="AC353" i="2"/>
  <c r="X354" i="2" l="1"/>
  <c r="AA353" i="2"/>
  <c r="Z353" i="2"/>
  <c r="AE353" i="2" s="1"/>
  <c r="S354" i="2" l="1"/>
  <c r="W354" i="2" s="1"/>
  <c r="AC354" i="2" l="1"/>
  <c r="Y354" i="2"/>
  <c r="AB354" i="2" s="1"/>
  <c r="X355" i="2" l="1"/>
  <c r="AA354" i="2"/>
  <c r="Z354" i="2"/>
  <c r="AE354" i="2" s="1"/>
  <c r="S355" i="2" l="1"/>
  <c r="W355" i="2" s="1"/>
  <c r="Y355" i="2" l="1"/>
  <c r="AB355" i="2" s="1"/>
  <c r="AC355" i="2"/>
  <c r="X356" i="2" l="1"/>
  <c r="AA355" i="2"/>
  <c r="Z355" i="2"/>
  <c r="AE355" i="2" s="1"/>
  <c r="S356" i="2" l="1"/>
  <c r="W356" i="2" s="1"/>
  <c r="Y356" i="2" l="1"/>
  <c r="AB356" i="2" s="1"/>
  <c r="AC356" i="2"/>
  <c r="X357" i="2" l="1"/>
  <c r="AA356" i="2"/>
  <c r="Z356" i="2"/>
  <c r="AE356" i="2" s="1"/>
  <c r="S357" i="2" l="1"/>
  <c r="W357" i="2" s="1"/>
  <c r="AC357" i="2" l="1"/>
  <c r="Y357" i="2"/>
  <c r="AB357" i="2" s="1"/>
  <c r="X358" i="2" l="1"/>
  <c r="AA357" i="2"/>
  <c r="Z357" i="2"/>
  <c r="AE357" i="2" s="1"/>
  <c r="S358" i="2" l="1"/>
  <c r="W358" i="2" s="1"/>
  <c r="AC358" i="2" l="1"/>
  <c r="Y358" i="2"/>
  <c r="AB358" i="2" s="1"/>
  <c r="X359" i="2" l="1"/>
  <c r="AA358" i="2"/>
  <c r="Z358" i="2"/>
  <c r="AE358" i="2" s="1"/>
  <c r="S359" i="2" l="1"/>
  <c r="W359" i="2" s="1"/>
  <c r="Y359" i="2" l="1"/>
  <c r="AB359" i="2" s="1"/>
  <c r="AC359" i="2"/>
  <c r="X360" i="2" l="1"/>
  <c r="AA359" i="2"/>
  <c r="Z359" i="2"/>
  <c r="AE359" i="2" s="1"/>
  <c r="S360" i="2" l="1"/>
  <c r="W360" i="2" s="1"/>
  <c r="AC360" i="2" l="1"/>
  <c r="Y360" i="2"/>
  <c r="AB360" i="2" s="1"/>
  <c r="X361" i="2" l="1"/>
  <c r="AA360" i="2"/>
  <c r="Z360" i="2"/>
  <c r="AE360" i="2" s="1"/>
  <c r="S361" i="2" l="1"/>
  <c r="W361" i="2" s="1"/>
  <c r="AC361" i="2" l="1"/>
  <c r="Y361" i="2"/>
  <c r="AB361" i="2" s="1"/>
  <c r="X362" i="2" l="1"/>
  <c r="AA361" i="2"/>
  <c r="Z361" i="2"/>
  <c r="AE361" i="2" s="1"/>
  <c r="S362" i="2" l="1"/>
  <c r="W362" i="2" s="1"/>
  <c r="Y362" i="2" l="1"/>
  <c r="AB362" i="2" s="1"/>
  <c r="AC362" i="2"/>
  <c r="X363" i="2" l="1"/>
  <c r="AA362" i="2"/>
  <c r="Z362" i="2"/>
  <c r="AE362" i="2" s="1"/>
  <c r="S363" i="2" l="1"/>
  <c r="W363" i="2" s="1"/>
  <c r="AC363" i="2" l="1"/>
  <c r="Y363" i="2"/>
  <c r="AB363" i="2" s="1"/>
  <c r="X364" i="2" l="1"/>
  <c r="AA363" i="2"/>
  <c r="Z363" i="2"/>
  <c r="AE363" i="2" s="1"/>
  <c r="S364" i="2" l="1"/>
  <c r="W364" i="2" s="1"/>
  <c r="AC364" i="2" l="1"/>
  <c r="Y364" i="2"/>
  <c r="AB364" i="2" s="1"/>
  <c r="X365" i="2" l="1"/>
  <c r="AA364" i="2"/>
  <c r="Z364" i="2"/>
  <c r="AE364" i="2" s="1"/>
  <c r="S365" i="2" l="1"/>
  <c r="W365" i="2" s="1"/>
  <c r="Y365" i="2" l="1"/>
  <c r="AB365" i="2" s="1"/>
  <c r="AC365" i="2"/>
  <c r="X366" i="2" l="1"/>
  <c r="AA365" i="2"/>
  <c r="Z365" i="2"/>
  <c r="AE365" i="2" s="1"/>
  <c r="S366" i="2" l="1"/>
  <c r="W366" i="2" s="1"/>
  <c r="Y366" i="2" l="1"/>
  <c r="AB366" i="2" s="1"/>
  <c r="AC366" i="2"/>
  <c r="X367" i="2" l="1"/>
  <c r="AA366" i="2"/>
  <c r="Z366" i="2"/>
  <c r="AE366" i="2" s="1"/>
  <c r="S367" i="2" l="1"/>
  <c r="W367" i="2" s="1"/>
  <c r="AC367" i="2" l="1"/>
  <c r="Y367" i="2"/>
  <c r="AB367" i="2" s="1"/>
  <c r="X368" i="2" l="1"/>
  <c r="AA367" i="2"/>
  <c r="Z367" i="2"/>
  <c r="AE367" i="2" s="1"/>
  <c r="S368" i="2" l="1"/>
  <c r="W368" i="2" s="1"/>
  <c r="Y368" i="2" l="1"/>
  <c r="AB368" i="2" s="1"/>
  <c r="AC368" i="2"/>
  <c r="X369" i="2" l="1"/>
  <c r="AA368" i="2"/>
  <c r="Z368" i="2"/>
  <c r="AE368" i="2" s="1"/>
  <c r="S369" i="2" l="1"/>
  <c r="W369" i="2" s="1"/>
  <c r="Y369" i="2" l="1"/>
  <c r="AB369" i="2" s="1"/>
  <c r="AC369" i="2"/>
  <c r="X370" i="2" l="1"/>
  <c r="AA369" i="2"/>
  <c r="Z369" i="2"/>
  <c r="AE369" i="2" s="1"/>
  <c r="S370" i="2" l="1"/>
  <c r="W370" i="2" s="1"/>
  <c r="Y370" i="2" l="1"/>
  <c r="AB370" i="2" s="1"/>
  <c r="AC370" i="2"/>
  <c r="X371" i="2" l="1"/>
  <c r="AA370" i="2"/>
  <c r="Z370" i="2"/>
  <c r="AE370" i="2" s="1"/>
  <c r="S371" i="2" l="1"/>
  <c r="W371" i="2" s="1"/>
  <c r="AC371" i="2" l="1"/>
  <c r="Y371" i="2"/>
  <c r="AB371" i="2" s="1"/>
  <c r="X372" i="2" l="1"/>
  <c r="AA371" i="2"/>
  <c r="Z371" i="2"/>
  <c r="AE371" i="2" s="1"/>
  <c r="S372" i="2" l="1"/>
  <c r="W372" i="2" s="1"/>
  <c r="AC372" i="2" l="1"/>
  <c r="Y372" i="2"/>
  <c r="AB372" i="2" s="1"/>
  <c r="X373" i="2" l="1"/>
  <c r="AA372" i="2"/>
  <c r="Z372" i="2"/>
  <c r="AE372" i="2" s="1"/>
  <c r="S373" i="2" l="1"/>
  <c r="W373" i="2" s="1"/>
  <c r="Y373" i="2" l="1"/>
  <c r="AB373" i="2" s="1"/>
  <c r="AC373" i="2"/>
  <c r="X374" i="2" l="1"/>
  <c r="AA373" i="2"/>
  <c r="Z373" i="2"/>
  <c r="AE373" i="2" s="1"/>
  <c r="S374" i="2" l="1"/>
  <c r="W374" i="2" s="1"/>
  <c r="Y374" i="2" l="1"/>
  <c r="AB374" i="2" s="1"/>
  <c r="AC374" i="2"/>
  <c r="X375" i="2" l="1"/>
  <c r="AA374" i="2"/>
  <c r="Z374" i="2"/>
  <c r="AE374" i="2" s="1"/>
  <c r="S375" i="2" l="1"/>
  <c r="W375" i="2" s="1"/>
  <c r="Y375" i="2" l="1"/>
  <c r="AB375" i="2" s="1"/>
  <c r="AC375" i="2"/>
  <c r="X376" i="2" l="1"/>
  <c r="AA375" i="2"/>
  <c r="Z375" i="2"/>
  <c r="AE375" i="2" s="1"/>
  <c r="S376" i="2" l="1"/>
  <c r="W376" i="2" s="1"/>
  <c r="Y376" i="2" l="1"/>
  <c r="AB376" i="2" s="1"/>
  <c r="AC376" i="2"/>
  <c r="X377" i="2" l="1"/>
  <c r="AA376" i="2"/>
  <c r="Z376" i="2"/>
  <c r="AE376" i="2" s="1"/>
  <c r="S377" i="2" l="1"/>
  <c r="W377" i="2" s="1"/>
  <c r="Y377" i="2" l="1"/>
  <c r="AB377" i="2" s="1"/>
  <c r="AC377" i="2"/>
  <c r="X378" i="2" l="1"/>
  <c r="AA377" i="2"/>
  <c r="Z377" i="2"/>
  <c r="AE377" i="2" s="1"/>
  <c r="S378" i="2" l="1"/>
  <c r="W378" i="2" s="1"/>
  <c r="Y378" i="2" l="1"/>
  <c r="AB378" i="2" s="1"/>
  <c r="AC378" i="2"/>
  <c r="X379" i="2" l="1"/>
  <c r="AA378" i="2"/>
  <c r="Z378" i="2"/>
  <c r="AE378" i="2" s="1"/>
  <c r="S379" i="2" l="1"/>
  <c r="W379" i="2" s="1"/>
  <c r="Y379" i="2" l="1"/>
  <c r="AB379" i="2" s="1"/>
  <c r="AC379" i="2"/>
  <c r="X380" i="2" l="1"/>
  <c r="AA379" i="2"/>
  <c r="Z379" i="2"/>
  <c r="AE379" i="2" s="1"/>
  <c r="S380" i="2" l="1"/>
  <c r="W380" i="2" s="1"/>
  <c r="Y380" i="2" l="1"/>
  <c r="AB380" i="2" s="1"/>
  <c r="AC380" i="2"/>
  <c r="X381" i="2" l="1"/>
  <c r="AA380" i="2"/>
  <c r="Z380" i="2"/>
  <c r="AE380" i="2" s="1"/>
  <c r="S381" i="2" l="1"/>
  <c r="W381" i="2" s="1"/>
  <c r="AC381" i="2" l="1"/>
  <c r="Y381" i="2"/>
  <c r="AB381" i="2" s="1"/>
  <c r="X382" i="2" l="1"/>
  <c r="AA381" i="2"/>
  <c r="Z381" i="2"/>
  <c r="AE381" i="2" s="1"/>
  <c r="S382" i="2" l="1"/>
  <c r="W382" i="2" s="1"/>
  <c r="AC382" i="2" l="1"/>
  <c r="Y382" i="2"/>
  <c r="AB382" i="2" s="1"/>
  <c r="X383" i="2" l="1"/>
  <c r="AA382" i="2"/>
  <c r="Z382" i="2"/>
  <c r="AE382" i="2" s="1"/>
  <c r="S383" i="2" l="1"/>
  <c r="W383" i="2" s="1"/>
  <c r="Y383" i="2" l="1"/>
  <c r="AB383" i="2" s="1"/>
  <c r="AC383" i="2"/>
  <c r="X384" i="2" l="1"/>
  <c r="AA383" i="2"/>
  <c r="Z383" i="2"/>
  <c r="AE383" i="2" s="1"/>
  <c r="S384" i="2" l="1"/>
  <c r="W384" i="2" s="1"/>
  <c r="AC384" i="2" l="1"/>
  <c r="Y384" i="2"/>
  <c r="AB384" i="2" s="1"/>
  <c r="X385" i="2" l="1"/>
  <c r="AA384" i="2"/>
  <c r="Z384" i="2"/>
  <c r="AE384" i="2" s="1"/>
  <c r="S385" i="2" l="1"/>
  <c r="W385" i="2" s="1"/>
  <c r="AC385" i="2" l="1"/>
  <c r="Y385" i="2"/>
  <c r="AB385" i="2" s="1"/>
  <c r="X386" i="2" l="1"/>
  <c r="AA385" i="2"/>
  <c r="Z385" i="2"/>
  <c r="AE385" i="2" s="1"/>
  <c r="S386" i="2" l="1"/>
  <c r="W386" i="2" s="1"/>
  <c r="Y386" i="2" l="1"/>
  <c r="AB386" i="2" s="1"/>
  <c r="AC386" i="2"/>
  <c r="X387" i="2" l="1"/>
  <c r="AA386" i="2"/>
  <c r="Z386" i="2"/>
  <c r="AE386" i="2" s="1"/>
  <c r="S387" i="2" l="1"/>
  <c r="W387" i="2" s="1"/>
  <c r="AC387" i="2" l="1"/>
  <c r="Y387" i="2"/>
  <c r="AB387" i="2" s="1"/>
  <c r="X388" i="2" l="1"/>
  <c r="AA387" i="2"/>
  <c r="Z387" i="2"/>
  <c r="AE387" i="2" s="1"/>
  <c r="S388" i="2" l="1"/>
  <c r="W388" i="2" s="1"/>
  <c r="Y388" i="2" l="1"/>
  <c r="AB388" i="2" s="1"/>
  <c r="AC388" i="2"/>
  <c r="X389" i="2" l="1"/>
  <c r="AA388" i="2"/>
  <c r="Z388" i="2"/>
  <c r="AE388" i="2" s="1"/>
  <c r="S389" i="2" l="1"/>
  <c r="W389" i="2" s="1"/>
  <c r="Y389" i="2" l="1"/>
  <c r="AB389" i="2" s="1"/>
  <c r="AC389" i="2"/>
  <c r="X390" i="2" l="1"/>
  <c r="AA389" i="2"/>
  <c r="Z389" i="2"/>
  <c r="AE389" i="2" s="1"/>
  <c r="S390" i="2" l="1"/>
  <c r="W390" i="2" s="1"/>
  <c r="AC390" i="2" l="1"/>
  <c r="Y390" i="2"/>
  <c r="AB390" i="2" s="1"/>
  <c r="X391" i="2" l="1"/>
  <c r="AA390" i="2"/>
  <c r="Z390" i="2"/>
  <c r="AE390" i="2" s="1"/>
  <c r="S391" i="2" l="1"/>
  <c r="W391" i="2" s="1"/>
  <c r="AC391" i="2" l="1"/>
  <c r="Y391" i="2"/>
  <c r="AB391" i="2" s="1"/>
  <c r="X392" i="2" l="1"/>
  <c r="AA391" i="2"/>
  <c r="Z391" i="2"/>
  <c r="AE391" i="2" s="1"/>
  <c r="S392" i="2" l="1"/>
  <c r="W392" i="2" s="1"/>
  <c r="AC392" i="2" l="1"/>
  <c r="Y392" i="2"/>
  <c r="AB392" i="2" s="1"/>
  <c r="X393" i="2" l="1"/>
  <c r="AA392" i="2"/>
  <c r="Z392" i="2"/>
  <c r="AE392" i="2" s="1"/>
  <c r="S393" i="2" l="1"/>
  <c r="W393" i="2" s="1"/>
  <c r="AC393" i="2" l="1"/>
  <c r="Y393" i="2"/>
  <c r="AB393" i="2" s="1"/>
  <c r="X394" i="2" l="1"/>
  <c r="AA393" i="2"/>
  <c r="Z393" i="2"/>
  <c r="AE393" i="2" s="1"/>
  <c r="S394" i="2" l="1"/>
  <c r="W394" i="2" s="1"/>
  <c r="Y394" i="2" l="1"/>
  <c r="AB394" i="2" s="1"/>
  <c r="AC394" i="2"/>
  <c r="X395" i="2" l="1"/>
  <c r="AA394" i="2"/>
  <c r="Z394" i="2"/>
  <c r="AE394" i="2" s="1"/>
  <c r="S395" i="2" l="1"/>
  <c r="W395" i="2" s="1"/>
  <c r="Y395" i="2" l="1"/>
  <c r="AB395" i="2" s="1"/>
  <c r="AC395" i="2"/>
  <c r="X396" i="2" l="1"/>
  <c r="AA395" i="2"/>
  <c r="Z395" i="2"/>
  <c r="AE395" i="2" s="1"/>
  <c r="S396" i="2" l="1"/>
  <c r="W396" i="2" s="1"/>
  <c r="AC396" i="2" l="1"/>
  <c r="Y396" i="2"/>
  <c r="AB396" i="2" s="1"/>
  <c r="X397" i="2" l="1"/>
  <c r="AA396" i="2"/>
  <c r="Z396" i="2"/>
  <c r="AE396" i="2" s="1"/>
  <c r="S397" i="2" l="1"/>
  <c r="W397" i="2" s="1"/>
  <c r="AC397" i="2" l="1"/>
  <c r="Y397" i="2"/>
  <c r="AB397" i="2" s="1"/>
  <c r="X398" i="2" l="1"/>
  <c r="AA397" i="2"/>
  <c r="Z397" i="2"/>
  <c r="AE397" i="2" s="1"/>
  <c r="S398" i="2" l="1"/>
  <c r="W398" i="2" s="1"/>
  <c r="Y398" i="2" l="1"/>
  <c r="AB398" i="2" s="1"/>
  <c r="AC398" i="2"/>
  <c r="X399" i="2" l="1"/>
  <c r="AA398" i="2"/>
  <c r="Z398" i="2"/>
  <c r="AE398" i="2" s="1"/>
  <c r="S399" i="2" l="1"/>
  <c r="W399" i="2" s="1"/>
  <c r="AC399" i="2" l="1"/>
  <c r="Y399" i="2"/>
  <c r="AB399" i="2" s="1"/>
  <c r="X400" i="2" l="1"/>
  <c r="AA399" i="2"/>
  <c r="Z399" i="2"/>
  <c r="AE399" i="2" s="1"/>
  <c r="S400" i="2" l="1"/>
  <c r="W400" i="2" s="1"/>
  <c r="AC400" i="2" l="1"/>
  <c r="Y400" i="2"/>
  <c r="AB400" i="2" s="1"/>
  <c r="X401" i="2" l="1"/>
  <c r="AA400" i="2"/>
  <c r="Z400" i="2"/>
  <c r="AE400" i="2" s="1"/>
  <c r="S401" i="2" l="1"/>
  <c r="W401" i="2" s="1"/>
  <c r="AC401" i="2" l="1"/>
  <c r="Y401" i="2"/>
  <c r="AB401" i="2" s="1"/>
  <c r="X402" i="2" l="1"/>
  <c r="AA401" i="2"/>
  <c r="Z401" i="2"/>
  <c r="AE401" i="2" s="1"/>
  <c r="S402" i="2" l="1"/>
  <c r="W402" i="2" s="1"/>
  <c r="Y402" i="2" l="1"/>
  <c r="AB402" i="2" s="1"/>
  <c r="AC402" i="2"/>
  <c r="X403" i="2" l="1"/>
  <c r="AA402" i="2"/>
  <c r="Z402" i="2"/>
  <c r="AE402" i="2" s="1"/>
  <c r="S403" i="2" l="1"/>
  <c r="W403" i="2" s="1"/>
  <c r="Y403" i="2" l="1"/>
  <c r="AB403" i="2" s="1"/>
  <c r="AC403" i="2"/>
  <c r="X404" i="2" l="1"/>
  <c r="AA403" i="2"/>
  <c r="Z403" i="2"/>
  <c r="AE403" i="2" s="1"/>
  <c r="S404" i="2" l="1"/>
  <c r="W404" i="2" s="1"/>
  <c r="Y404" i="2" l="1"/>
  <c r="AB404" i="2" s="1"/>
  <c r="AC404" i="2"/>
  <c r="X405" i="2" l="1"/>
  <c r="AA404" i="2"/>
  <c r="Z404" i="2"/>
  <c r="AE404" i="2" s="1"/>
  <c r="S405" i="2" l="1"/>
  <c r="W405" i="2" s="1"/>
  <c r="AC405" i="2" l="1"/>
  <c r="Y405" i="2"/>
  <c r="AB405" i="2" s="1"/>
  <c r="X406" i="2" l="1"/>
  <c r="AA405" i="2"/>
  <c r="Z405" i="2"/>
  <c r="AE405" i="2" s="1"/>
  <c r="S406" i="2" l="1"/>
  <c r="W406" i="2" s="1"/>
  <c r="AC406" i="2" l="1"/>
  <c r="Y406" i="2"/>
  <c r="AB406" i="2" s="1"/>
  <c r="X407" i="2" l="1"/>
  <c r="AA406" i="2"/>
  <c r="Z406" i="2"/>
  <c r="AE406" i="2" s="1"/>
  <c r="S407" i="2" l="1"/>
  <c r="W407" i="2" s="1"/>
  <c r="Y407" i="2" l="1"/>
  <c r="AB407" i="2" s="1"/>
  <c r="AC407" i="2"/>
  <c r="X408" i="2" l="1"/>
  <c r="AA407" i="2"/>
  <c r="Z407" i="2"/>
  <c r="AE407" i="2" s="1"/>
  <c r="S408" i="2" l="1"/>
  <c r="W408" i="2" s="1"/>
  <c r="AC408" i="2" l="1"/>
  <c r="Y408" i="2"/>
  <c r="AB408" i="2" s="1"/>
  <c r="X409" i="2" l="1"/>
  <c r="AA408" i="2"/>
  <c r="Z408" i="2"/>
  <c r="AE408" i="2" s="1"/>
  <c r="S409" i="2" l="1"/>
  <c r="W409" i="2" s="1"/>
  <c r="AC409" i="2" l="1"/>
  <c r="Y409" i="2"/>
  <c r="AB409" i="2" s="1"/>
  <c r="X410" i="2" l="1"/>
  <c r="AA409" i="2"/>
  <c r="Z409" i="2"/>
  <c r="AE409" i="2" s="1"/>
  <c r="S410" i="2" l="1"/>
  <c r="W410" i="2" s="1"/>
  <c r="Y410" i="2" l="1"/>
  <c r="AB410" i="2" s="1"/>
  <c r="AC410" i="2"/>
  <c r="X411" i="2" l="1"/>
  <c r="AA410" i="2"/>
  <c r="Z410" i="2"/>
  <c r="AE410" i="2" s="1"/>
  <c r="S411" i="2" l="1"/>
  <c r="W411" i="2" s="1"/>
  <c r="AC411" i="2" l="1"/>
  <c r="Y411" i="2"/>
  <c r="AB411" i="2" s="1"/>
  <c r="X412" i="2" l="1"/>
  <c r="AA411" i="2"/>
  <c r="Z411" i="2"/>
  <c r="AE411" i="2" s="1"/>
  <c r="S412" i="2" l="1"/>
  <c r="W412" i="2" s="1"/>
  <c r="Y412" i="2" l="1"/>
  <c r="AB412" i="2" s="1"/>
  <c r="AC412" i="2"/>
  <c r="X413" i="2" l="1"/>
  <c r="AA412" i="2"/>
  <c r="Z412" i="2"/>
  <c r="AE412" i="2" s="1"/>
  <c r="S413" i="2" l="1"/>
  <c r="W413" i="2" s="1"/>
  <c r="Y413" i="2" l="1"/>
  <c r="AB413" i="2" s="1"/>
  <c r="AC413" i="2"/>
  <c r="X414" i="2" l="1"/>
  <c r="AA413" i="2"/>
  <c r="Z413" i="2"/>
  <c r="AE413" i="2" s="1"/>
  <c r="S414" i="2" l="1"/>
  <c r="W414" i="2" s="1"/>
  <c r="AC414" i="2" l="1"/>
  <c r="Y414" i="2"/>
  <c r="AB414" i="2" s="1"/>
  <c r="X415" i="2" l="1"/>
  <c r="AA414" i="2"/>
  <c r="Z414" i="2"/>
  <c r="AE414" i="2" s="1"/>
  <c r="S415" i="2" l="1"/>
  <c r="W415" i="2" s="1"/>
  <c r="AC415" i="2" l="1"/>
  <c r="Y415" i="2"/>
  <c r="AB415" i="2" s="1"/>
  <c r="X416" i="2" l="1"/>
  <c r="AA415" i="2"/>
  <c r="Z415" i="2"/>
  <c r="AE415" i="2" s="1"/>
  <c r="S416" i="2" l="1"/>
  <c r="W416" i="2" s="1"/>
  <c r="AC416" i="2" l="1"/>
  <c r="Y416" i="2"/>
  <c r="AB416" i="2" s="1"/>
  <c r="X417" i="2" l="1"/>
  <c r="AA416" i="2"/>
  <c r="Z416" i="2"/>
  <c r="AE416" i="2" s="1"/>
  <c r="S417" i="2" l="1"/>
  <c r="W417" i="2" s="1"/>
  <c r="AC417" i="2" l="1"/>
  <c r="Y417" i="2"/>
  <c r="AB417" i="2" s="1"/>
  <c r="X418" i="2" l="1"/>
  <c r="AA417" i="2"/>
  <c r="Z417" i="2"/>
  <c r="AE417" i="2" s="1"/>
  <c r="S418" i="2" l="1"/>
  <c r="W418" i="2" s="1"/>
  <c r="AC418" i="2" l="1"/>
  <c r="Y418" i="2"/>
  <c r="AB418" i="2" s="1"/>
  <c r="X419" i="2" l="1"/>
  <c r="AA418" i="2"/>
  <c r="Z418" i="2"/>
  <c r="AE418" i="2" s="1"/>
  <c r="S419" i="2" l="1"/>
  <c r="W419" i="2" s="1"/>
  <c r="AC419" i="2" l="1"/>
  <c r="Y419" i="2"/>
  <c r="AB419" i="2" s="1"/>
  <c r="X420" i="2" l="1"/>
  <c r="AA419" i="2"/>
  <c r="Z419" i="2"/>
  <c r="AE419" i="2" s="1"/>
  <c r="S420" i="2" l="1"/>
  <c r="W420" i="2" s="1"/>
  <c r="AC420" i="2" l="1"/>
  <c r="Y420" i="2"/>
  <c r="AB420" i="2" s="1"/>
  <c r="X421" i="2" l="1"/>
  <c r="AA420" i="2"/>
  <c r="Z420" i="2"/>
  <c r="AE420" i="2" s="1"/>
  <c r="S421" i="2" l="1"/>
  <c r="W421" i="2" s="1"/>
  <c r="Y421" i="2" l="1"/>
  <c r="AB421" i="2" s="1"/>
  <c r="AC421" i="2"/>
  <c r="X422" i="2" l="1"/>
  <c r="AA421" i="2"/>
  <c r="Z421" i="2"/>
  <c r="AE421" i="2" s="1"/>
  <c r="S422" i="2" l="1"/>
  <c r="W422" i="2" s="1"/>
  <c r="Y422" i="2" l="1"/>
  <c r="AB422" i="2" s="1"/>
  <c r="AC422" i="2"/>
  <c r="X423" i="2" l="1"/>
  <c r="AA422" i="2"/>
  <c r="Z422" i="2"/>
  <c r="AE422" i="2" s="1"/>
  <c r="S423" i="2" l="1"/>
  <c r="W423" i="2" s="1"/>
  <c r="Y423" i="2" l="1"/>
  <c r="AB423" i="2" s="1"/>
  <c r="AC423" i="2"/>
  <c r="X424" i="2" l="1"/>
  <c r="AA423" i="2"/>
  <c r="Z423" i="2"/>
  <c r="AE423" i="2" s="1"/>
  <c r="S424" i="2" l="1"/>
  <c r="W424" i="2" s="1"/>
  <c r="Y424" i="2" l="1"/>
  <c r="AB424" i="2" s="1"/>
  <c r="AC424" i="2"/>
  <c r="X425" i="2" l="1"/>
  <c r="AA424" i="2"/>
  <c r="Z424" i="2"/>
  <c r="AE424" i="2" s="1"/>
  <c r="S425" i="2" l="1"/>
  <c r="W425" i="2" s="1"/>
  <c r="Y425" i="2" l="1"/>
  <c r="AB425" i="2" s="1"/>
  <c r="AC425" i="2"/>
  <c r="X426" i="2" l="1"/>
  <c r="AA425" i="2"/>
  <c r="Z425" i="2"/>
  <c r="AE425" i="2" s="1"/>
  <c r="S426" i="2" l="1"/>
  <c r="W426" i="2" s="1"/>
  <c r="Y426" i="2" l="1"/>
  <c r="AB426" i="2" s="1"/>
  <c r="AC426" i="2"/>
  <c r="X427" i="2" l="1"/>
  <c r="AA426" i="2"/>
  <c r="Z426" i="2"/>
  <c r="AE426" i="2" s="1"/>
  <c r="S427" i="2" l="1"/>
  <c r="W427" i="2" s="1"/>
  <c r="AC427" i="2" l="1"/>
  <c r="Y427" i="2"/>
  <c r="AB427" i="2" s="1"/>
  <c r="X428" i="2" l="1"/>
  <c r="AA427" i="2"/>
  <c r="Z427" i="2"/>
  <c r="AE427" i="2" s="1"/>
  <c r="S428" i="2" l="1"/>
  <c r="W428" i="2" s="1"/>
  <c r="AC428" i="2" l="1"/>
  <c r="Y428" i="2"/>
  <c r="AB428" i="2" s="1"/>
  <c r="X429" i="2" l="1"/>
  <c r="AA428" i="2"/>
  <c r="Z428" i="2"/>
  <c r="AE428" i="2" s="1"/>
  <c r="S429" i="2" l="1"/>
  <c r="W429" i="2" s="1"/>
  <c r="AC429" i="2" l="1"/>
  <c r="Y429" i="2"/>
  <c r="AB429" i="2" s="1"/>
  <c r="X430" i="2" l="1"/>
  <c r="AA429" i="2"/>
  <c r="Z429" i="2"/>
  <c r="AE429" i="2" s="1"/>
  <c r="S430" i="2" l="1"/>
  <c r="W430" i="2" s="1"/>
  <c r="Y430" i="2" l="1"/>
  <c r="AB430" i="2" s="1"/>
  <c r="AC430" i="2"/>
  <c r="X431" i="2" l="1"/>
  <c r="AA430" i="2"/>
  <c r="Z430" i="2"/>
  <c r="AE430" i="2" s="1"/>
  <c r="S431" i="2" l="1"/>
  <c r="W431" i="2" s="1"/>
  <c r="AC431" i="2" l="1"/>
  <c r="Y431" i="2"/>
  <c r="AB431" i="2" s="1"/>
  <c r="X432" i="2" l="1"/>
  <c r="AA431" i="2"/>
  <c r="Z431" i="2"/>
  <c r="AE431" i="2" s="1"/>
  <c r="S432" i="2" l="1"/>
  <c r="W432" i="2" s="1"/>
  <c r="Y432" i="2" l="1"/>
  <c r="AB432" i="2" s="1"/>
  <c r="AC432" i="2"/>
  <c r="X433" i="2" l="1"/>
  <c r="AA432" i="2"/>
  <c r="Z432" i="2"/>
  <c r="AE432" i="2" s="1"/>
  <c r="S433" i="2" l="1"/>
  <c r="W433" i="2" s="1"/>
  <c r="Y433" i="2" l="1"/>
  <c r="AB433" i="2" s="1"/>
  <c r="AC433" i="2"/>
  <c r="X434" i="2" l="1"/>
  <c r="AA433" i="2"/>
  <c r="Z433" i="2"/>
  <c r="AE433" i="2" s="1"/>
  <c r="S434" i="2" l="1"/>
  <c r="W434" i="2" s="1"/>
  <c r="AC434" i="2" l="1"/>
  <c r="Y434" i="2"/>
  <c r="AB434" i="2" s="1"/>
  <c r="X435" i="2" l="1"/>
  <c r="AA434" i="2"/>
  <c r="Z434" i="2"/>
  <c r="AE434" i="2" s="1"/>
  <c r="S435" i="2" l="1"/>
  <c r="W435" i="2" s="1"/>
  <c r="AC435" i="2" l="1"/>
  <c r="Y435" i="2"/>
  <c r="AB435" i="2" s="1"/>
  <c r="X436" i="2" l="1"/>
  <c r="AA435" i="2"/>
  <c r="Z435" i="2"/>
  <c r="AE435" i="2" s="1"/>
  <c r="S436" i="2" l="1"/>
  <c r="W436" i="2" s="1"/>
  <c r="Y436" i="2" l="1"/>
  <c r="AB436" i="2" s="1"/>
  <c r="AC436" i="2"/>
  <c r="X437" i="2" l="1"/>
  <c r="AA436" i="2"/>
  <c r="Z436" i="2"/>
  <c r="AE436" i="2" s="1"/>
  <c r="S437" i="2" l="1"/>
  <c r="W437" i="2" s="1"/>
  <c r="AC437" i="2" l="1"/>
  <c r="Y437" i="2"/>
  <c r="AB437" i="2" s="1"/>
  <c r="X438" i="2" l="1"/>
  <c r="AA437" i="2"/>
  <c r="Z437" i="2"/>
  <c r="AE437" i="2" s="1"/>
  <c r="S438" i="2" l="1"/>
  <c r="W438" i="2" s="1"/>
  <c r="Y438" i="2" l="1"/>
  <c r="AB438" i="2" s="1"/>
  <c r="AC438" i="2"/>
  <c r="X439" i="2" l="1"/>
  <c r="AA438" i="2"/>
  <c r="Z438" i="2"/>
  <c r="AE438" i="2" s="1"/>
  <c r="S439" i="2" l="1"/>
  <c r="W439" i="2" s="1"/>
  <c r="AC439" i="2" l="1"/>
  <c r="Y439" i="2"/>
  <c r="AB439" i="2" s="1"/>
  <c r="X440" i="2" l="1"/>
  <c r="AA439" i="2"/>
  <c r="Z439" i="2"/>
  <c r="AE439" i="2" s="1"/>
  <c r="S440" i="2" l="1"/>
  <c r="W440" i="2" s="1"/>
  <c r="AC440" i="2" l="1"/>
  <c r="Y440" i="2"/>
  <c r="AB440" i="2" s="1"/>
  <c r="X441" i="2" l="1"/>
  <c r="AA440" i="2"/>
  <c r="Z440" i="2"/>
  <c r="AE440" i="2" s="1"/>
  <c r="S441" i="2" l="1"/>
  <c r="W441" i="2" s="1"/>
  <c r="Y441" i="2" l="1"/>
  <c r="AB441" i="2" s="1"/>
  <c r="AC441" i="2"/>
  <c r="X442" i="2" l="1"/>
  <c r="AA441" i="2"/>
  <c r="Z441" i="2"/>
  <c r="AE441" i="2" s="1"/>
  <c r="S442" i="2" l="1"/>
  <c r="W442" i="2" s="1"/>
  <c r="AC442" i="2" l="1"/>
  <c r="Y442" i="2"/>
  <c r="AB442" i="2" s="1"/>
  <c r="X443" i="2" l="1"/>
  <c r="AA442" i="2"/>
  <c r="Z442" i="2"/>
  <c r="AE442" i="2" s="1"/>
  <c r="S443" i="2" l="1"/>
  <c r="W443" i="2" s="1"/>
  <c r="Y443" i="2" l="1"/>
  <c r="AB443" i="2" s="1"/>
  <c r="AC443" i="2"/>
  <c r="X444" i="2" l="1"/>
  <c r="AA443" i="2"/>
  <c r="Z443" i="2"/>
  <c r="AE443" i="2" s="1"/>
  <c r="S444" i="2" l="1"/>
  <c r="W444" i="2" s="1"/>
  <c r="Y444" i="2" l="1"/>
  <c r="AB444" i="2" s="1"/>
  <c r="AC444" i="2"/>
  <c r="X445" i="2" l="1"/>
  <c r="AA444" i="2"/>
  <c r="Z444" i="2"/>
  <c r="AE444" i="2" s="1"/>
  <c r="S445" i="2" l="1"/>
  <c r="W445" i="2" s="1"/>
  <c r="Y445" i="2" l="1"/>
  <c r="AB445" i="2" s="1"/>
  <c r="AC445" i="2"/>
  <c r="X446" i="2" l="1"/>
  <c r="AA445" i="2"/>
  <c r="Z445" i="2"/>
  <c r="AE445" i="2" s="1"/>
  <c r="S446" i="2" l="1"/>
  <c r="W446" i="2" s="1"/>
  <c r="AC446" i="2" l="1"/>
  <c r="Y446" i="2"/>
  <c r="AB446" i="2" s="1"/>
  <c r="X447" i="2" l="1"/>
  <c r="AA446" i="2"/>
  <c r="Z446" i="2"/>
  <c r="AE446" i="2" s="1"/>
  <c r="S447" i="2" l="1"/>
  <c r="W447" i="2" s="1"/>
  <c r="Y447" i="2" l="1"/>
  <c r="AB447" i="2" s="1"/>
  <c r="AC447" i="2"/>
  <c r="X448" i="2" l="1"/>
  <c r="AA447" i="2"/>
  <c r="Z447" i="2"/>
  <c r="AE447" i="2" s="1"/>
  <c r="S448" i="2" l="1"/>
  <c r="W448" i="2" s="1"/>
  <c r="Y448" i="2" l="1"/>
  <c r="AB448" i="2" s="1"/>
  <c r="AC448" i="2"/>
  <c r="X449" i="2" l="1"/>
  <c r="AA448" i="2"/>
  <c r="Z448" i="2"/>
  <c r="AE448" i="2" s="1"/>
  <c r="S449" i="2" l="1"/>
  <c r="W449" i="2" s="1"/>
  <c r="Y449" i="2" l="1"/>
  <c r="AB449" i="2" s="1"/>
  <c r="AC449" i="2"/>
  <c r="X450" i="2" l="1"/>
  <c r="AA449" i="2"/>
  <c r="Z449" i="2"/>
  <c r="AE449" i="2" s="1"/>
  <c r="S450" i="2" l="1"/>
  <c r="W450" i="2" s="1"/>
  <c r="AC450" i="2" l="1"/>
  <c r="Y450" i="2"/>
  <c r="AB450" i="2" s="1"/>
  <c r="X451" i="2" l="1"/>
  <c r="AA450" i="2"/>
  <c r="Z450" i="2"/>
  <c r="AE450" i="2" s="1"/>
  <c r="S451" i="2" l="1"/>
  <c r="W451" i="2" s="1"/>
  <c r="AC451" i="2" l="1"/>
  <c r="Y451" i="2"/>
  <c r="AB451" i="2" s="1"/>
  <c r="X452" i="2" l="1"/>
  <c r="AA451" i="2"/>
  <c r="Z451" i="2"/>
  <c r="AE451" i="2" s="1"/>
  <c r="S452" i="2" l="1"/>
  <c r="W452" i="2" s="1"/>
  <c r="Y452" i="2" l="1"/>
  <c r="AB452" i="2" s="1"/>
  <c r="AC452" i="2"/>
  <c r="X453" i="2" l="1"/>
  <c r="AA452" i="2"/>
  <c r="Z452" i="2"/>
  <c r="AE452" i="2" s="1"/>
  <c r="S453" i="2" l="1"/>
  <c r="W453" i="2" s="1"/>
  <c r="Y453" i="2" l="1"/>
  <c r="AB453" i="2" s="1"/>
  <c r="AC453" i="2"/>
  <c r="X454" i="2" l="1"/>
  <c r="AA453" i="2"/>
  <c r="Z453" i="2"/>
  <c r="AE453" i="2" s="1"/>
  <c r="S454" i="2" l="1"/>
  <c r="W454" i="2" s="1"/>
  <c r="Y454" i="2" l="1"/>
  <c r="AB454" i="2" s="1"/>
  <c r="AC454" i="2"/>
  <c r="X455" i="2" l="1"/>
  <c r="AA454" i="2"/>
  <c r="Z454" i="2"/>
  <c r="AE454" i="2" s="1"/>
  <c r="S455" i="2" l="1"/>
  <c r="W455" i="2" s="1"/>
  <c r="Y455" i="2" l="1"/>
  <c r="AB455" i="2" s="1"/>
  <c r="AC455" i="2"/>
  <c r="X456" i="2" l="1"/>
  <c r="AA455" i="2"/>
  <c r="Z455" i="2"/>
  <c r="AE455" i="2" s="1"/>
  <c r="S456" i="2" l="1"/>
  <c r="W456" i="2" s="1"/>
  <c r="Y456" i="2" l="1"/>
  <c r="AB456" i="2" s="1"/>
  <c r="AC456" i="2"/>
  <c r="X457" i="2" l="1"/>
  <c r="AA456" i="2"/>
  <c r="Z456" i="2"/>
  <c r="AE456" i="2" s="1"/>
  <c r="S457" i="2" l="1"/>
  <c r="W457" i="2" s="1"/>
  <c r="AC457" i="2" l="1"/>
  <c r="Y457" i="2"/>
  <c r="AB457" i="2" s="1"/>
  <c r="X458" i="2" l="1"/>
  <c r="AA457" i="2"/>
  <c r="Z457" i="2"/>
  <c r="AE457" i="2" s="1"/>
  <c r="S458" i="2" l="1"/>
  <c r="W458" i="2" s="1"/>
  <c r="Y458" i="2" l="1"/>
  <c r="AB458" i="2" s="1"/>
  <c r="AC458" i="2"/>
  <c r="X459" i="2" l="1"/>
  <c r="AA458" i="2"/>
  <c r="Z458" i="2"/>
  <c r="AE458" i="2" s="1"/>
  <c r="S459" i="2" l="1"/>
  <c r="W459" i="2" s="1"/>
  <c r="Y459" i="2" l="1"/>
  <c r="AB459" i="2" s="1"/>
  <c r="AC459" i="2"/>
  <c r="X460" i="2" l="1"/>
  <c r="AA459" i="2"/>
  <c r="Z459" i="2"/>
  <c r="AE459" i="2" s="1"/>
  <c r="S460" i="2" l="1"/>
  <c r="W460" i="2" s="1"/>
  <c r="Y460" i="2" l="1"/>
  <c r="AB460" i="2" s="1"/>
  <c r="AC460" i="2"/>
  <c r="X461" i="2" l="1"/>
  <c r="AA460" i="2"/>
  <c r="Z460" i="2"/>
  <c r="AE460" i="2" s="1"/>
  <c r="S461" i="2" l="1"/>
  <c r="W461" i="2" s="1"/>
  <c r="Y461" i="2" l="1"/>
  <c r="AB461" i="2" s="1"/>
  <c r="AC461" i="2"/>
  <c r="X462" i="2" l="1"/>
  <c r="AA461" i="2"/>
  <c r="Z461" i="2"/>
  <c r="AE461" i="2" s="1"/>
  <c r="S462" i="2" l="1"/>
  <c r="W462" i="2" s="1"/>
  <c r="Y462" i="2" l="1"/>
  <c r="AB462" i="2" s="1"/>
  <c r="AC462" i="2"/>
  <c r="X463" i="2" l="1"/>
  <c r="AA462" i="2"/>
  <c r="Z462" i="2"/>
  <c r="AE462" i="2" s="1"/>
  <c r="S463" i="2" l="1"/>
  <c r="W463" i="2" s="1"/>
  <c r="Y463" i="2" l="1"/>
  <c r="AB463" i="2" s="1"/>
  <c r="AC463" i="2"/>
  <c r="X464" i="2" l="1"/>
  <c r="AA463" i="2"/>
  <c r="Z463" i="2"/>
  <c r="AE463" i="2" s="1"/>
  <c r="S464" i="2" l="1"/>
  <c r="W464" i="2" s="1"/>
  <c r="AC464" i="2" l="1"/>
  <c r="Y464" i="2"/>
  <c r="AB464" i="2" s="1"/>
  <c r="X465" i="2" l="1"/>
  <c r="AA464" i="2"/>
  <c r="Z464" i="2"/>
  <c r="AE464" i="2" s="1"/>
  <c r="S465" i="2" l="1"/>
  <c r="W465" i="2" s="1"/>
  <c r="AC465" i="2" l="1"/>
  <c r="Y465" i="2"/>
  <c r="AB465" i="2" s="1"/>
  <c r="X466" i="2" l="1"/>
  <c r="AA465" i="2"/>
  <c r="Z465" i="2"/>
  <c r="AE465" i="2" s="1"/>
  <c r="S466" i="2" l="1"/>
  <c r="W466" i="2" s="1"/>
  <c r="Y466" i="2" l="1"/>
  <c r="AB466" i="2" s="1"/>
  <c r="AC466" i="2"/>
  <c r="X467" i="2" l="1"/>
  <c r="AA466" i="2"/>
  <c r="Z466" i="2"/>
  <c r="AE466" i="2" s="1"/>
  <c r="S467" i="2" l="1"/>
  <c r="W467" i="2" s="1"/>
  <c r="Y467" i="2" l="1"/>
  <c r="AB467" i="2" s="1"/>
  <c r="AC467" i="2"/>
  <c r="X468" i="2" l="1"/>
  <c r="AA467" i="2"/>
  <c r="Z467" i="2"/>
  <c r="AE467" i="2" s="1"/>
  <c r="S468" i="2" l="1"/>
  <c r="W468" i="2" s="1"/>
  <c r="AC468" i="2" l="1"/>
  <c r="Y468" i="2"/>
  <c r="AB468" i="2" s="1"/>
  <c r="X469" i="2" l="1"/>
  <c r="AA468" i="2"/>
  <c r="Z468" i="2"/>
  <c r="AE468" i="2" s="1"/>
  <c r="S469" i="2" l="1"/>
  <c r="W469" i="2" s="1"/>
  <c r="AC469" i="2" l="1"/>
  <c r="Y469" i="2"/>
  <c r="AB469" i="2" s="1"/>
  <c r="X470" i="2" l="1"/>
  <c r="AA469" i="2"/>
  <c r="Z469" i="2"/>
  <c r="AE469" i="2" s="1"/>
  <c r="S470" i="2" l="1"/>
  <c r="W470" i="2" s="1"/>
  <c r="Y470" i="2" l="1"/>
  <c r="AB470" i="2" s="1"/>
  <c r="AC470" i="2"/>
  <c r="X471" i="2" l="1"/>
  <c r="AA470" i="2"/>
  <c r="Z470" i="2"/>
  <c r="AE470" i="2" s="1"/>
  <c r="S471" i="2" l="1"/>
  <c r="W471" i="2" s="1"/>
  <c r="Y471" i="2" l="1"/>
  <c r="AB471" i="2" s="1"/>
  <c r="AC471" i="2"/>
  <c r="X472" i="2" l="1"/>
  <c r="AA471" i="2"/>
  <c r="Z471" i="2"/>
  <c r="AE471" i="2" s="1"/>
  <c r="S472" i="2" l="1"/>
  <c r="W472" i="2" s="1"/>
  <c r="AC472" i="2" l="1"/>
  <c r="Y472" i="2"/>
  <c r="AB472" i="2" s="1"/>
  <c r="X473" i="2" l="1"/>
  <c r="AA472" i="2"/>
  <c r="Z472" i="2"/>
  <c r="AE472" i="2" s="1"/>
  <c r="S473" i="2" l="1"/>
  <c r="W473" i="2" s="1"/>
  <c r="Y473" i="2" l="1"/>
  <c r="AB473" i="2" s="1"/>
  <c r="AC473" i="2"/>
  <c r="X474" i="2" l="1"/>
  <c r="AA473" i="2"/>
  <c r="Z473" i="2"/>
  <c r="AE473" i="2" s="1"/>
  <c r="S474" i="2" l="1"/>
  <c r="W474" i="2" s="1"/>
  <c r="Y474" i="2" l="1"/>
  <c r="AB474" i="2" s="1"/>
  <c r="AC474" i="2"/>
  <c r="X475" i="2" l="1"/>
  <c r="AA474" i="2"/>
  <c r="Z474" i="2"/>
  <c r="AE474" i="2" s="1"/>
  <c r="S475" i="2" l="1"/>
  <c r="W475" i="2" s="1"/>
  <c r="Y475" i="2" l="1"/>
  <c r="AB475" i="2" s="1"/>
  <c r="AC475" i="2"/>
  <c r="X476" i="2" l="1"/>
  <c r="AA475" i="2"/>
  <c r="Z475" i="2"/>
  <c r="AE475" i="2" s="1"/>
  <c r="S476" i="2" l="1"/>
  <c r="W476" i="2" s="1"/>
  <c r="Y476" i="2" l="1"/>
  <c r="AB476" i="2" s="1"/>
  <c r="AC476" i="2"/>
  <c r="X477" i="2" l="1"/>
  <c r="AA476" i="2"/>
  <c r="Z476" i="2"/>
  <c r="AE476" i="2" s="1"/>
  <c r="S477" i="2" l="1"/>
  <c r="W477" i="2" s="1"/>
  <c r="Y477" i="2" l="1"/>
  <c r="AB477" i="2" s="1"/>
  <c r="AC477" i="2"/>
  <c r="X478" i="2" l="1"/>
  <c r="AA477" i="2"/>
  <c r="Z477" i="2"/>
  <c r="AE477" i="2" s="1"/>
  <c r="S478" i="2" l="1"/>
  <c r="W478" i="2" s="1"/>
  <c r="Y478" i="2" l="1"/>
  <c r="AB478" i="2" s="1"/>
  <c r="AC478" i="2"/>
  <c r="X479" i="2" l="1"/>
  <c r="AA478" i="2"/>
  <c r="Z478" i="2"/>
  <c r="AE478" i="2" s="1"/>
  <c r="S479" i="2" l="1"/>
  <c r="W479" i="2" s="1"/>
  <c r="AC479" i="2" l="1"/>
  <c r="Y479" i="2"/>
  <c r="AB479" i="2" s="1"/>
  <c r="X480" i="2" l="1"/>
  <c r="AA479" i="2"/>
  <c r="Z479" i="2"/>
  <c r="AE479" i="2" s="1"/>
  <c r="S480" i="2" l="1"/>
  <c r="W480" i="2" s="1"/>
  <c r="AC480" i="2" l="1"/>
  <c r="Y480" i="2"/>
  <c r="AB480" i="2" s="1"/>
  <c r="X481" i="2" l="1"/>
  <c r="AA480" i="2"/>
  <c r="Z480" i="2"/>
  <c r="AE480" i="2" s="1"/>
  <c r="S481" i="2" l="1"/>
  <c r="W481" i="2" s="1"/>
  <c r="Y481" i="2" l="1"/>
  <c r="AB481" i="2" s="1"/>
  <c r="AC481" i="2"/>
  <c r="X482" i="2" l="1"/>
  <c r="AA481" i="2"/>
  <c r="Z481" i="2"/>
  <c r="AE481" i="2" s="1"/>
  <c r="S482" i="2" l="1"/>
  <c r="X1" i="2"/>
  <c r="W482" i="2" l="1"/>
  <c r="S1" i="2"/>
  <c r="AC482" i="2" l="1"/>
  <c r="AC1" i="2" s="1" a="1"/>
  <c r="AC1" i="2" s="1"/>
  <c r="AI4" i="2" s="1"/>
  <c r="Y482" i="2"/>
  <c r="AB482" i="2" s="1"/>
  <c r="W1" i="2"/>
  <c r="AA482" i="2" l="1"/>
  <c r="AA1" i="2" s="1" a="1"/>
  <c r="AA1" i="2" s="1"/>
  <c r="Y1" i="2"/>
  <c r="Z482" i="2"/>
  <c r="AE482" i="2" s="1"/>
  <c r="AF3" i="2" l="1" a="1"/>
  <c r="AB1" i="2" a="1"/>
  <c r="AB1" i="2" s="1"/>
  <c r="Z1" i="2" a="1"/>
  <c r="Z1" i="2" s="1"/>
  <c r="AI3" i="2" s="1"/>
  <c r="AF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tc={D0B89FC5-FB35-4046-A6D4-B2A236D08CB3}</author>
    <author>tc={97B7E93C-C26E-4AD2-9CED-864AFAC43293}</author>
    <author>tc={158471DB-E808-45A4-B886-1A5717460954}</author>
    <author>tc={0470C377-9C02-429A-954E-43D3520D7503}</author>
  </authors>
  <commentList>
    <comment ref="A6" authorId="0" shapeId="0" xr:uid="{D0B89FC5-FB35-4046-A6D4-B2A236D08CB3}">
      <text>
        <t>[Opmerkingenthread]
U kunt deze opmerkingenthread lezen in uw versie van Excel. Eventuele wijzigingen aan de thread gaan echter verloren als het bestand wordt geopend in een nieuwere versie van Excel. Meer informatie: https://go.microsoft.com/fwlink/?linkid=870924
Opmerking:
    Can be dynamic in long events</t>
      </text>
    </comment>
    <comment ref="A12" authorId="1" shapeId="0" xr:uid="{97B7E93C-C26E-4AD2-9CED-864AFAC43293}">
      <text>
        <t>[Opmerkingenthread]
U kunt deze opmerkingenthread lezen in uw versie van Excel. Eventuele wijzigingen aan de thread gaan echter verloren als het bestand wordt geopend in een nieuwere versie van Excel. Meer informatie: https://go.microsoft.com/fwlink/?linkid=870924
Opmerking:
    Can be dynamic due to elevation via Wehrlin and Hallén eq</t>
      </text>
    </comment>
    <comment ref="C55" authorId="2" shapeId="0" xr:uid="{158471DB-E808-45A4-B886-1A571746095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0.0004 voor een getrainde ultra-loper, 0.0006 voor een recreant </t>
      </text>
    </comment>
    <comment ref="C69" authorId="3" shapeId="0" xr:uid="{0470C377-9C02-429A-954E-43D3520D750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4.82kcal/literO2 is the energy you get by using 1 liter O2 at a resting RER of 0.82, 
which corresponds with the standard MET equal to 3.5 ml/kg/min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tc={9683EF9D-CCB3-4062-9B26-10C593402692}</author>
    <author>tc={8B037FCF-2994-4BBD-9D39-C2DDD976925E}</author>
    <author>tc={ECCAD0CE-36B1-4471-8C10-CB0074235EC6}</author>
    <author>tc={2CC8CB8A-52A3-4D6C-8E5B-35561F6B5295}</author>
    <author>tc={E91E73FD-6124-40DF-A4D8-C51C944E21BB}</author>
    <author>tc={7F0882ED-E32B-4991-9D12-8884952A5393}</author>
    <author>tc={BAB55C35-7C43-42C6-8417-73DA73BE26F7}</author>
    <author>tc={162B7DDA-0CAC-4BBC-A03E-B5528BB831E7}</author>
    <author>tc={7694D352-10E2-4649-8C87-2A121EF4FD34}</author>
    <author>tc={F97C20D8-F5FA-4B6A-AA0A-E8864C2DC914}</author>
    <author>tc={73099AB0-0426-4B4F-9CEE-C1743284ACBC}</author>
  </authors>
  <commentList>
    <comment ref="J2" authorId="0" shapeId="0" xr:uid="{9683EF9D-CCB3-4062-9B26-10C593402692}">
      <text>
        <t>[Opmerkingenthread]
U kunt deze opmerkingenthread lezen in uw versie van Excel. Eventuele wijzigingen aan de thread gaan echter verloren als het bestand wordt geopend in een nieuwere versie van Excel. Meer informatie: https://go.microsoft.com/fwlink/?linkid=870924
Opmerking:
    N = 1 // hard packed trail: N = 1,05 // Technical/rooty trail: N = 1,12 // Soft sand going to deep mud: N = 1,2-1,5</t>
      </text>
    </comment>
    <comment ref="O2" authorId="1" shapeId="0" xr:uid="{8B037FCF-2994-4BBD-9D39-C2DDD976925E}">
      <text>
        <t>[Opmerkingenthread]
U kunt deze opmerkingenthread lezen in uw versie van Excel. Eventuele wijzigingen aan de thread gaan echter verloren als het bestand wordt geopend in een nieuwere versie van Excel. Meer informatie: https://go.microsoft.com/fwlink/?linkid=870924
Opmerking:
    meter/min</t>
      </text>
    </comment>
    <comment ref="P2" authorId="2" shapeId="0" xr:uid="{ECCAD0CE-36B1-4471-8C10-CB0074235EC6}">
      <text>
        <t>[Opmerkingenthread]
U kunt deze opmerkingenthread lezen in uw versie van Excel. Eventuele wijzigingen aan de thread gaan echter verloren als het bestand wordt geopend in een nieuwere versie van Excel. Meer informatie: https://go.microsoft.com/fwlink/?linkid=870924
Opmerking:
    Loopvorm verslechterd door combinatie van vermoeidheid door tijd, klimmen en dalen</t>
      </text>
    </comment>
    <comment ref="R2" authorId="3" shapeId="0" xr:uid="{2CC8CB8A-52A3-4D6C-8E5B-35561F6B5295}">
      <text>
        <t>[Opmerkingenthread]
U kunt deze opmerkingenthread lezen in uw versie van Excel. Eventuele wijzigingen aan de thread gaan echter verloren als het bestand wordt geopend in een nieuwere versie van Excel. Meer informatie: https://go.microsoft.com/fwlink/?linkid=870924
Opmerking:
    J/kg/m</t>
      </text>
    </comment>
    <comment ref="V2" authorId="4" shapeId="0" xr:uid="{E91E73FD-6124-40DF-A4D8-C51C944E21BB}">
      <text>
        <t>[Opmerkingenthread]
U kunt deze opmerkingenthread lezen in uw versie van Excel. Eventuele wijzigingen aan de thread gaan echter verloren als het bestand wordt geopend in een nieuwere versie van Excel. Meer informatie: https://go.microsoft.com/fwlink/?linkid=870924
Opmerking:
    kJ/min</t>
      </text>
    </comment>
    <comment ref="W2" authorId="5" shapeId="0" xr:uid="{7F0882ED-E32B-4991-9D12-8884952A5393}">
      <text>
        <t>[Opmerkingenthread]
U kunt deze opmerkingenthread lezen in uw versie van Excel. Eventuele wijzigingen aan de thread gaan echter verloren als het bestand wordt geopend in een nieuwere versie van Excel. Meer informatie: https://go.microsoft.com/fwlink/?linkid=870924
Opmerking:
    kJ/min</t>
      </text>
    </comment>
    <comment ref="X2" authorId="6" shapeId="0" xr:uid="{BAB55C35-7C43-42C6-8417-73DA73BE26F7}">
      <text>
        <t>[Opmerkingenthread]
U kunt deze opmerkingenthread lezen in uw versie van Excel. Eventuele wijzigingen aan de thread gaan echter verloren als het bestand wordt geopend in een nieuwere versie van Excel. Meer informatie: https://go.microsoft.com/fwlink/?linkid=870924
Opmerking:
    Verhouding CO2/O2 en dus verhouding carbs tov vetten</t>
      </text>
    </comment>
    <comment ref="N3" authorId="7" shapeId="0" xr:uid="{162B7DDA-0CAC-4BBC-A03E-B5528BB831E7}">
      <text>
        <t>[Opmerkingenthread]
U kunt deze opmerkingenthread lezen in uw versie van Excel. Eventuele wijzigingen aan de thread gaan echter verloren als het bestand wordt geopend in een nieuwere versie van Excel. Meer informatie: https://go.microsoft.com/fwlink/?linkid=870924
Opmerking:
    HR drift nemen we nu nog niet mee ondanks de tijdsuitschrijving hier dat wel mogelijk zou maken (factor 1 op het einde)</t>
      </text>
    </comment>
    <comment ref="A14" authorId="8" shapeId="0" xr:uid="{7694D352-10E2-4649-8C87-2A121EF4FD34}">
      <text>
        <t>[Opmerkingenthread]
U kunt deze opmerkingenthread lezen in uw versie van Excel. Eventuele wijzigingen aan de thread gaan echter verloren als het bestand wordt geopend in een nieuwere versie van Excel. Meer informatie: https://go.microsoft.com/fwlink/?linkid=870924
Opmerking:
    Can be dynamic in long events</t>
      </text>
    </comment>
    <comment ref="A19" authorId="9" shapeId="0" xr:uid="{F97C20D8-F5FA-4B6A-AA0A-E8864C2DC914}">
      <text>
        <t>[Opmerkingenthread]
U kunt deze opmerkingenthread lezen in uw versie van Excel. Eventuele wijzigingen aan de thread gaan echter verloren als het bestand wordt geopend in een nieuwere versie van Excel. Meer informatie: https://go.microsoft.com/fwlink/?linkid=870924
Opmerking:
    Can be dynamic due to elevation via Wehrlin and Hallén eq</t>
      </text>
    </comment>
    <comment ref="A20" authorId="10" shapeId="0" xr:uid="{73099AB0-0426-4B4F-9CEE-C1743284ACBC}">
      <text>
        <t>[Opmerkingenthread]
U kunt deze opmerkingenthread lezen in uw versie van Excel. Eventuele wijzigingen aan de thread gaan echter verloren als het bestand wordt geopend in een nieuwere versie van Excel. Meer informatie: https://go.microsoft.com/fwlink/?linkid=870924
Opmerking:
    1 = Beginner/Ongetraind: Loopt sporadisch, minder dan 2x per week
2 = Recreatief (Standaard): Traint 2 tot 3 keer per week consistent
3 = Geavanceerd: Loopt 4+ keer per week, doet aan interval- en duurtrajecten
4 = Elite/Wedstrijdsporter: Combineert een hoog volume met actieve 'carb-loading' protocollen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<sst xmlns="http://schemas.openxmlformats.org/spreadsheetml/2006/main" count="326" uniqueCount="231">
  <si>
    <t>Section 1: Static User Inputs</t>
  </si>
  <si>
    <t>Inputs</t>
  </si>
  <si>
    <t>Extra formulas if users don't know input parameters:</t>
  </si>
  <si>
    <t>Known inputs</t>
  </si>
  <si>
    <t>RT Fueling</t>
  </si>
  <si>
    <t>Body fat mass</t>
  </si>
  <si>
    <t>Parameter</t>
  </si>
  <si>
    <t>Unit</t>
  </si>
  <si>
    <t>Value</t>
  </si>
  <si>
    <t>BPM</t>
  </si>
  <si>
    <t>Body fat% =</t>
  </si>
  <si>
    <t>BMI:</t>
  </si>
  <si>
    <t>BMI = gewicht in kg/lengte in meter²</t>
  </si>
  <si>
    <t>--&gt; if you are muscular, BMI formula is wrong as it will say you are fat</t>
  </si>
  <si>
    <t>Gender (1=M, 0=F)</t>
  </si>
  <si>
    <t>-</t>
  </si>
  <si>
    <t>Endureance fueling</t>
  </si>
  <si>
    <t>Waist:</t>
  </si>
  <si>
    <t>omtrek van uw taille (waist) in meter</t>
  </si>
  <si>
    <t>--&gt; this formula is more accurate and requires one to measure its waist</t>
  </si>
  <si>
    <t>Age</t>
  </si>
  <si>
    <t>year</t>
  </si>
  <si>
    <t>Total Weight</t>
  </si>
  <si>
    <t>kg</t>
  </si>
  <si>
    <t>Category</t>
  </si>
  <si>
    <t>Men (%)</t>
  </si>
  <si>
    <t>Women (%)</t>
  </si>
  <si>
    <t>Length</t>
  </si>
  <si>
    <t>m</t>
  </si>
  <si>
    <t>Essential Fat</t>
  </si>
  <si>
    <t>2–5%</t>
  </si>
  <si>
    <t>10–13%</t>
  </si>
  <si>
    <t>Resting HR</t>
  </si>
  <si>
    <t>bpm</t>
  </si>
  <si>
    <t>Athletes</t>
  </si>
  <si>
    <t>6–13%</t>
  </si>
  <si>
    <t>14–20%</t>
  </si>
  <si>
    <t>Max HR</t>
  </si>
  <si>
    <t>Fitness</t>
  </si>
  <si>
    <t>14–17%</t>
  </si>
  <si>
    <t>21–24%</t>
  </si>
  <si>
    <t>Body fat percentage (e.g. 0.15)</t>
  </si>
  <si>
    <t>% in 0,00</t>
  </si>
  <si>
    <t>Average</t>
  </si>
  <si>
    <t>18–24%</t>
  </si>
  <si>
    <t>25–31%</t>
  </si>
  <si>
    <t>Geplande carbs/uur</t>
  </si>
  <si>
    <t>g/uur</t>
  </si>
  <si>
    <t>Obese</t>
  </si>
  <si>
    <t>25%+</t>
  </si>
  <si>
    <t>32%+</t>
  </si>
  <si>
    <t>VO2 Max</t>
  </si>
  <si>
    <t>ml/kg/min</t>
  </si>
  <si>
    <t>VO2max</t>
  </si>
  <si>
    <t>Section 1': Static User Inputs - don't need to be filled in</t>
  </si>
  <si>
    <t>Uth-Sørensen-Overgaard-Pedersen estimation --&gt; general use but less accurate as others</t>
  </si>
  <si>
    <t>Derived from above</t>
  </si>
  <si>
    <t>VO2max =</t>
  </si>
  <si>
    <t>HR max</t>
  </si>
  <si>
    <t>HR rest</t>
  </si>
  <si>
    <t>Formula</t>
  </si>
  <si>
    <t>Lean body mass</t>
  </si>
  <si>
    <t>Cooper 12-minute run test --&gt; more accurate, for more fit individuals (probably most usefull for us but requires 'test')</t>
  </si>
  <si>
    <t>BMR very active</t>
  </si>
  <si>
    <t>kcal/day</t>
  </si>
  <si>
    <t>Cunningham eq</t>
  </si>
  <si>
    <t>Run as far as possible on a flat surface (ideally a 400m track) for exactly 12 minutes.</t>
  </si>
  <si>
    <t>BMR active</t>
  </si>
  <si>
    <t xml:space="preserve">Katch-McArdle eq </t>
  </si>
  <si>
    <t>distance (m):</t>
  </si>
  <si>
    <t>BMR base</t>
  </si>
  <si>
    <t>Mifflin-St Jeor eq</t>
  </si>
  <si>
    <t>5-minute power test for cycling --&gt; most accurate but bike needed (good for thiathlon)</t>
  </si>
  <si>
    <t>Use a power meter on a 5min maximum effort test to obtain W/kg</t>
  </si>
  <si>
    <t>W/kg:</t>
  </si>
  <si>
    <t>--&gt; can be obtained by checking power meter on bike and divide it by weight</t>
  </si>
  <si>
    <t>Section 2: Dynamic Segment Inputs - come from real time data</t>
  </si>
  <si>
    <t>Parameters here are dynamic/real time, but we will start with static averages of whole activity</t>
  </si>
  <si>
    <t>Segment speed</t>
  </si>
  <si>
    <t>min/km</t>
  </si>
  <si>
    <t>Segment time</t>
  </si>
  <si>
    <t>time</t>
  </si>
  <si>
    <t>Cumulative time</t>
  </si>
  <si>
    <t>Segment HR</t>
  </si>
  <si>
    <t>Segment slope</t>
  </si>
  <si>
    <t>Cumul. ascent</t>
  </si>
  <si>
    <t>Cumul. Descent</t>
  </si>
  <si>
    <t>Ambient temp</t>
  </si>
  <si>
    <t>°C</t>
  </si>
  <si>
    <t>Terrain factor (1.0 - 1.5)</t>
  </si>
  <si>
    <t>can be obtained from GPS // asphalt/treadmill, high cadence and low bounce = no adjustment needed: N = 1 // hard packed trail: N = 1,05 // Technical/rooty trail: N = 1,12 // Soft sand going to deep mud: N = 1,2-1,5</t>
  </si>
  <si>
    <t>Section 3: Keytel equation = find the energy the person actually burns</t>
  </si>
  <si>
    <t>We take the personalised BMR into account (keytel assumes a 1MET=3,5 wich is not the case if you are muscular), we take Temp correction into account and HR drift (which both cause HR higher than actual energy use)</t>
  </si>
  <si>
    <t>and we take glycogen depletion into account (keytel assumes the person has RER=0,85 however, as carbs deplete, more fats are burned and you get less energy out of carbs at the same HR)</t>
  </si>
  <si>
    <t>Personal BMR</t>
  </si>
  <si>
    <t>Keytel in essence gives the energy you use based on your HR</t>
  </si>
  <si>
    <t>Composition gap</t>
  </si>
  <si>
    <t>kJ/min</t>
  </si>
  <si>
    <t>Drift factor corr.</t>
  </si>
  <si>
    <t>R_start</t>
  </si>
  <si>
    <t>speed/HR</t>
  </si>
  <si>
    <t>--&gt; te berekenen in begin van loop op vlak stuk</t>
  </si>
  <si>
    <t>R_actual</t>
  </si>
  <si>
    <t>--&gt; te berekenen tijdens de activiteit na pakt +2u</t>
  </si>
  <si>
    <t>Drift factor</t>
  </si>
  <si>
    <t>nemen we nu nog niet mee</t>
  </si>
  <si>
    <t>Temp &amp; drift corr.</t>
  </si>
  <si>
    <t>HR_adj</t>
  </si>
  <si>
    <t>Arrhenius-inspired HR correction for Temp + drift factor calculated troughout activity</t>
  </si>
  <si>
    <t>Glycogen depl corr.</t>
  </si>
  <si>
    <t>RER_t</t>
  </si>
  <si>
    <r>
      <t xml:space="preserve">--&gt; RER geeft verhouding CO2 tov O2 weer en impliciet zo de verhouding carbs/fats die je lichaam gebruikt om energie te geven, </t>
    </r>
    <r>
      <rPr>
        <b/>
        <sz val="11"/>
        <color theme="1"/>
        <rFont val="Calibri"/>
        <family val="2"/>
        <scheme val="minor"/>
      </rPr>
      <t>verlaagt doorheen de tijd door gebruik van carbs en stijgt door fueling</t>
    </r>
  </si>
  <si>
    <t>Fuel factor</t>
  </si>
  <si>
    <t>Weir eq.: kcal/min = VO2_dot*(3,941+1,106*RER) --&gt; literO2/min * hoeveel energie je krijgt per liter O2; Het verbranden van vetten levert minder energie op waardoor je voor eenzelfde HR minder energie krijgt</t>
  </si>
  <si>
    <t>keytel corrigeren want die denkt dat we heel de tijd efficient zijn in carbs terwijl onze carbs dalen waardoor we minder energie krijgen bij eenzelfde HR (moet eigenlijk een tijd functie zijn)</t>
  </si>
  <si>
    <t>Eigenlijke formule</t>
  </si>
  <si>
    <t>Keytel: gebruikte energie op basis van HR</t>
  </si>
  <si>
    <t>Keytel eq</t>
  </si>
  <si>
    <t>Intensity level</t>
  </si>
  <si>
    <t>Est. RER</t>
  </si>
  <si>
    <t>kJ/literO2</t>
  </si>
  <si>
    <t>kcal/literO2</t>
  </si>
  <si>
    <t>Use case</t>
  </si>
  <si>
    <t>carbs geven 5,05kcal/literO2</t>
  </si>
  <si>
    <t>%carbs = (RER-0,7)/0,3</t>
  </si>
  <si>
    <t>Keytel met fuel factor</t>
  </si>
  <si>
    <t>all carbs (&gt;90% HRmax)</t>
  </si>
  <si>
    <t>all out, 5k/10k race</t>
  </si>
  <si>
    <t>fats geven 4,69 kcal/literO2</t>
  </si>
  <si>
    <t>VCO2/VO2</t>
  </si>
  <si>
    <t>Keytel zonder correcties</t>
  </si>
  <si>
    <t>high (80-90% HRmax)</t>
  </si>
  <si>
    <t>half marathon, hard trail</t>
  </si>
  <si>
    <t>hoeveelheid carbs</t>
  </si>
  <si>
    <t>g_carb/min</t>
  </si>
  <si>
    <t>Frayn’s Equation (with keytel and RER)</t>
  </si>
  <si>
    <t>moderate (60-80% HRmax)</t>
  </si>
  <si>
    <t>ironman bike/run, steady trail run</t>
  </si>
  <si>
    <t>--&gt; @RER = 0,85 -&gt; carbs = 50%</t>
  </si>
  <si>
    <t>hoeveelheid fats</t>
  </si>
  <si>
    <t>g_fat/min</t>
  </si>
  <si>
    <t>low (&lt;60% HRmax)</t>
  </si>
  <si>
    <t>ultra-marathon, walking/easy hiking</t>
  </si>
  <si>
    <t>all fats</t>
  </si>
  <si>
    <t>completely depleted of carbs</t>
  </si>
  <si>
    <t xml:space="preserve">Section 4: Minetti equation = find the energy the trail requires </t>
  </si>
  <si>
    <t>Personal 1 MET value</t>
  </si>
  <si>
    <t>Keytel loses accuracy on low HR ranges, for example at power hiking a mountain in a trail or with high muscle impact --&gt; minetti accounts for especially steep climbs and concequencial high muscular loads not</t>
  </si>
  <si>
    <t>Personal 1 MET</t>
  </si>
  <si>
    <t xml:space="preserve">well represented by HR (it is the standard fpr cnst-speed gradient running). Minetti does also come short so we take into account corrections: the BMR value is again personalised, economical decay: you start to run bad </t>
  </si>
  <si>
    <t>after a certain amount of time causing more  energy consumption, again glycogen depletion is taken into account and a terrain index is account for as this also is missed by HR and the basic minetti eq (is was calculated on asphalt)</t>
  </si>
  <si>
    <t>Terrain index</t>
  </si>
  <si>
    <t>Minetti in essence gives energy the perfect human requires to go the trail</t>
  </si>
  <si>
    <t>N</t>
  </si>
  <si>
    <t>Economical decay</t>
  </si>
  <si>
    <t>ED</t>
  </si>
  <si>
    <t xml:space="preserve">Total Cap: 0.25 </t>
  </si>
  <si>
    <t>T_tax (time)</t>
  </si>
  <si>
    <t xml:space="preserve">Time tax: 0-12u +0.005/h // 12-24u +0.0025/h // &gt;24u cap at 0.1 </t>
  </si>
  <si>
    <t>V_tax (ascent)</t>
  </si>
  <si>
    <t xml:space="preserve">Vertical tax: +0.01 for every 300D+ </t>
  </si>
  <si>
    <t>I_tax (descent)</t>
  </si>
  <si>
    <t xml:space="preserve">Impact tax: +0.02 for every 300D- </t>
  </si>
  <si>
    <t>Eigenlijk formule</t>
  </si>
  <si>
    <t>Minetti: cost voor beweging</t>
  </si>
  <si>
    <t>J/kg/m</t>
  </si>
  <si>
    <t>--&gt; energie om 1kg lichaamsgewicht over 1meter te verplaatsen; dus om nu naar kJ/min te gaan hebben we gewicht en snelheid nodig</t>
  </si>
  <si>
    <t>snelheid</t>
  </si>
  <si>
    <t>m/min</t>
  </si>
  <si>
    <t>Minetti: energie nodig om je lichaam tegen snelheid x te verplaatsen over bep profiel</t>
  </si>
  <si>
    <t>(on a flat surface, minetti says that the cost for running 1km/h requires exactly 1MET of O2, in line with Leger &amp; Mercier)</t>
  </si>
  <si>
    <t>Minetti zonder correcties</t>
  </si>
  <si>
    <t>Section 5: choose engine &amp; final results</t>
  </si>
  <si>
    <t>Keytel gives actual energy use, Minetti how much it would take to go this trail ideally so Keytel should always be lower exept for when steep/technical sections or very bad drift/fueled, cold etc that cause HR to be unrealiable</t>
  </si>
  <si>
    <t>Nu kan het wel dat je zeer sportief bent waardoor je HR lager hoger zou moeten zijn dan de route vereist (volgens de modellen, die natuurlijk niet op elites zijn afgestemd)</t>
  </si>
  <si>
    <t>Interne motor Keytel</t>
  </si>
  <si>
    <t>Externe vereiste Minetti</t>
  </si>
  <si>
    <t>Internal efficiency</t>
  </si>
  <si>
    <t>The work/The cost</t>
  </si>
  <si>
    <t>Normaal &lt; 1 als alles juist zit qua input data en gemeten input data</t>
  </si>
  <si>
    <t>Total kcal keytel</t>
  </si>
  <si>
    <t>kcal</t>
  </si>
  <si>
    <t>keytel zonder BMR</t>
  </si>
  <si>
    <t>Total kcal minetti</t>
  </si>
  <si>
    <t>minetti zonder BMR</t>
  </si>
  <si>
    <t>Ofcourse, nu moeten we dit nog vertalen naar carbs en vetten… ipv kcal</t>
  </si>
  <si>
    <t>maar dat zit er ergens al wel in verwerkt, die verhouding van wat je verbrand</t>
  </si>
  <si>
    <t>en real time zou je ook eten, dus RER_t verandert voordurend</t>
  </si>
  <si>
    <t>en dan heb je nog drinken en dat effect, dit is enkel eten en kcal :)</t>
  </si>
  <si>
    <t>--&gt; formules getest met een 16k, 1u45min loop van mij</t>
  </si>
  <si>
    <t>Coros</t>
  </si>
  <si>
    <t>keytel</t>
  </si>
  <si>
    <t>minetti</t>
  </si>
  <si>
    <t>active + BMR</t>
  </si>
  <si>
    <t>active</t>
  </si>
  <si>
    <t>active + BMR zonder corr</t>
  </si>
  <si>
    <t>active zonder corr</t>
  </si>
  <si>
    <t>General upfront inputs</t>
  </si>
  <si>
    <t>Dynamic inputs from watch for both</t>
  </si>
  <si>
    <t>uu:mm</t>
  </si>
  <si>
    <t>segment HR</t>
  </si>
  <si>
    <t>speed mm:ss</t>
  </si>
  <si>
    <t>segment slope</t>
  </si>
  <si>
    <t>terrain index</t>
  </si>
  <si>
    <t>cum. ascent</t>
  </si>
  <si>
    <t>cum. descent</t>
  </si>
  <si>
    <t>speed converted</t>
  </si>
  <si>
    <t>Minetti base</t>
  </si>
  <si>
    <t>Keytel</t>
  </si>
  <si>
    <t>Minetti corr</t>
  </si>
  <si>
    <t>Keytel corr</t>
  </si>
  <si>
    <t>integrated carbs</t>
  </si>
  <si>
    <t>carb reservoir</t>
  </si>
  <si>
    <t>carb res + eat</t>
  </si>
  <si>
    <t>integrated kcal</t>
  </si>
  <si>
    <t>calc colum</t>
  </si>
  <si>
    <t>Time for carbs</t>
  </si>
  <si>
    <t>Calc for both</t>
  </si>
  <si>
    <t>Total g carbs</t>
  </si>
  <si>
    <t>Dynamic inputs from watch for keytel</t>
  </si>
  <si>
    <t>Total kcals</t>
  </si>
  <si>
    <t>Keytel calc</t>
  </si>
  <si>
    <t>Dynamic inputs from watch for minetti</t>
  </si>
  <si>
    <t>Minetti calc</t>
  </si>
  <si>
    <t>Loopniveau</t>
  </si>
  <si>
    <t>Carb storage</t>
  </si>
  <si>
    <t>gram</t>
  </si>
  <si>
    <t>Test for eating</t>
  </si>
  <si>
    <t>how many carbs per dose</t>
  </si>
  <si>
    <t>g</t>
  </si>
  <si>
    <t>per how many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</si>
</sst>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h:mm:ss;@"/>
    <numFmt numFmtId="166" formatCode="0.00000"/>
    <numFmt numFmtId="167" formatCode="0.0000"/>
    <numFmt numFmtId="168" formatCode="0.000"/>
    <numFmt numFmtId="169" formatCode="h:mm;@"/>
  </numFmts>
  <fonts count="11" x14ac:knownFonts="1">
    <font>
      <sz val="11"/>
      <color theme="1"/>
      <name val="Calibri"/>
      <family val="2"/>
      <scheme val="minor"/>
    </font>
    <font>
      <b/>
      <sz val="11"/>
      <color rgb="FFFFFFFF"/>
      <name val="Calibri"/>
    </font>
    <font>
      <b/>
      <sz val="11"/>
      <name val="Calibri"/>
    </font>
    <font>
      <b/>
      <sz val="11"/>
      <color theme="1"/>
      <name val="Calibri"/>
      <family val="2"/>
      <scheme val="minor"/>
    </font>
    <font>
      <b/>
      <sz val="11"/>
      <color rgb="FFFFFFFF"/>
      <name val="Calibri"/>
      <family val="2"/>
    </font>
    <font>
      <i/>
      <sz val="11"/>
      <color theme="1"/>
      <name val="Calibri"/>
      <family val="2"/>
      <scheme val="minor"/>
    </font>
    <font>
      <b/>
      <sz val="11"/>
      <name val="Calibri"/>
      <family val="2"/>
    </font>
    <font>
      <u/>
      <sz val="11"/>
      <color theme="1"/>
      <name val="Calibri"/>
      <family val="2"/>
      <scheme val="minor"/>
    </font>
    <font>
      <b/>
      <sz val="11"/>
      <color rgb="FFFF0000"/>
      <name val="Calibri"/>
      <family val="2"/>
      <scheme val="minor"/>
    </font>
    <font>
      <sz val="11"/>
      <color theme="1"/>
      <name val="Calibri"/>
      <family val="2"/>
      <scheme val="minor"/>
    </font>
    <font>
      <sz val="11"/>
      <color rgb="FFFF0000"/>
      <name val="Calibri"/>
      <family val="2"/>
      <scheme val="minor"/>
    </font>
  </fonts>
  <fills count="19">
    <fill>
      <patternFill patternType="none"/>
    </fill>
    <fill>
      <patternFill patternType="gray125"/>
    </fill>
    <fill>
      <patternFill patternType="solid">
        <fgColor rgb="FF1F4E79"/>
      </patternFill>
    </fill>
    <fill>
      <patternFill patternType="solid">
        <fgColor rgb="FFD9E1F2"/>
      </patternFill>
    </fill>
    <fill>
      <patternFill patternType="solid">
        <fgColor theme="8" tint="0.59999389629810485"/>
        <bgColor indexed="64"/>
      </patternFill>
    </fill>
    <fill>
      <patternFill patternType="solid">
        <fgColor theme="8" tint="0.79998168889431442"/>
        <bgColor indexed="64"/>
      </patternFill>
    </fill>
    <fill>
      <patternFill patternType="solid">
        <fgColor theme="3" tint="0.59999389629810485"/>
        <bgColor indexed="64"/>
      </patternFill>
    </fill>
    <fill>
      <patternFill patternType="solid">
        <fgColor theme="3"/>
        <bgColor indexed="64"/>
      </patternFill>
    </fill>
    <fill>
      <patternFill patternType="solid">
        <fgColor theme="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00B050"/>
        <bgColor indexed="64"/>
      </patternFill>
    </fill>
    <fill>
      <patternFill patternType="solid">
        <fgColor theme="6" tint="0.39997558519241921"/>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6" tint="0.59999389629810485"/>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9" fontId="9" fillId="0" borderId="0" applyFont="0" applyFill="0" applyBorder="0" applyAlignment="0" applyProtection="0"/>
  </cellStyleXfs>
  <cellXfs count="131">
    <xf numFmtId="0" fontId="0" fillId="0" borderId="0" xfId="0"/>
    <xf numFmtId="0" fontId="0" fillId="0" borderId="0" xfId="0" applyAlignment="1">
      <alignment vertical="center"/>
    </xf>
    <xf numFmtId="2" fontId="0" fillId="0" borderId="0" xfId="0" applyNumberFormat="1" applyAlignment="1">
      <alignment horizontal="center" vertical="center"/>
    </xf>
    <xf numFmtId="0" fontId="0" fillId="0" borderId="0" xfId="0" quotePrefix="1" applyAlignment="1">
      <alignment vertical="center"/>
    </xf>
    <xf numFmtId="1" fontId="0" fillId="0" borderId="0" xfId="0" applyNumberFormat="1" applyAlignment="1">
      <alignment vertical="center"/>
    </xf>
    <xf numFmtId="0" fontId="0" fillId="0" borderId="0" xfId="0" applyAlignment="1">
      <alignment horizontal="center" vertical="center"/>
    </xf>
    <xf numFmtId="0" fontId="5" fillId="0" borderId="0" xfId="0" applyFont="1" applyAlignment="1">
      <alignment vertical="center"/>
    </xf>
    <xf numFmtId="20" fontId="0" fillId="0" borderId="0" xfId="0" applyNumberFormat="1" applyAlignment="1">
      <alignment vertical="center"/>
    </xf>
    <xf numFmtId="0" fontId="0" fillId="0" borderId="0" xfId="0" applyAlignment="1">
      <alignment horizontal="left" vertical="center"/>
    </xf>
    <xf numFmtId="0" fontId="3" fillId="4" borderId="1" xfId="0" applyFont="1" applyFill="1" applyBorder="1" applyAlignment="1">
      <alignment vertical="center"/>
    </xf>
    <xf numFmtId="0" fontId="0" fillId="4" borderId="2" xfId="0" applyFill="1" applyBorder="1" applyAlignment="1">
      <alignment vertical="center"/>
    </xf>
    <xf numFmtId="0" fontId="0" fillId="5" borderId="4" xfId="0" applyFill="1" applyBorder="1" applyAlignment="1">
      <alignment vertical="center"/>
    </xf>
    <xf numFmtId="0" fontId="3" fillId="5" borderId="0" xfId="0" applyFont="1" applyFill="1" applyAlignment="1">
      <alignment vertical="center"/>
    </xf>
    <xf numFmtId="0" fontId="0" fillId="5" borderId="0" xfId="0" applyFill="1" applyAlignment="1">
      <alignment vertical="center"/>
    </xf>
    <xf numFmtId="0" fontId="0" fillId="8" borderId="2" xfId="0" applyFill="1" applyBorder="1" applyAlignment="1">
      <alignment vertical="center"/>
    </xf>
    <xf numFmtId="0" fontId="0" fillId="8" borderId="3" xfId="0" applyFill="1" applyBorder="1" applyAlignment="1">
      <alignment vertical="center"/>
    </xf>
    <xf numFmtId="0" fontId="0" fillId="8" borderId="0" xfId="0" applyFill="1" applyAlignment="1">
      <alignment vertical="center"/>
    </xf>
    <xf numFmtId="0" fontId="0" fillId="8" borderId="5" xfId="0" applyFill="1" applyBorder="1" applyAlignment="1">
      <alignment vertical="center"/>
    </xf>
    <xf numFmtId="0" fontId="0" fillId="8" borderId="0" xfId="0" quotePrefix="1" applyFill="1" applyAlignment="1">
      <alignment vertical="center"/>
    </xf>
    <xf numFmtId="0" fontId="0" fillId="8" borderId="7" xfId="0" applyFill="1" applyBorder="1" applyAlignment="1">
      <alignment vertical="center"/>
    </xf>
    <xf numFmtId="0" fontId="0" fillId="8" borderId="8" xfId="0" applyFill="1" applyBorder="1" applyAlignment="1">
      <alignment vertical="center"/>
    </xf>
    <xf numFmtId="0" fontId="0" fillId="8" borderId="4" xfId="0" applyFill="1" applyBorder="1" applyAlignment="1">
      <alignment vertical="center"/>
    </xf>
    <xf numFmtId="164" fontId="0" fillId="8" borderId="0" xfId="0" applyNumberFormat="1" applyFill="1" applyAlignment="1">
      <alignment horizontal="center" vertical="center"/>
    </xf>
    <xf numFmtId="0" fontId="0" fillId="8" borderId="0" xfId="0" applyFill="1" applyAlignment="1">
      <alignment horizontal="right" vertical="center"/>
    </xf>
    <xf numFmtId="2" fontId="0" fillId="8" borderId="0" xfId="0" applyNumberFormat="1" applyFill="1" applyAlignment="1">
      <alignment horizontal="center" vertical="center"/>
    </xf>
    <xf numFmtId="0" fontId="3" fillId="8" borderId="4" xfId="0" applyFont="1" applyFill="1" applyBorder="1" applyAlignment="1">
      <alignment vertical="center"/>
    </xf>
    <xf numFmtId="0" fontId="3" fillId="8" borderId="0" xfId="0" applyFont="1" applyFill="1" applyAlignment="1">
      <alignment vertical="center"/>
    </xf>
    <xf numFmtId="0" fontId="0" fillId="8" borderId="0" xfId="0" applyFill="1" applyAlignment="1">
      <alignment horizontal="center" vertical="center"/>
    </xf>
    <xf numFmtId="0" fontId="0" fillId="8" borderId="6" xfId="0" applyFill="1" applyBorder="1" applyAlignment="1">
      <alignment vertical="center"/>
    </xf>
    <xf numFmtId="0" fontId="0" fillId="0" borderId="7" xfId="0" applyBorder="1" applyAlignment="1">
      <alignment horizontal="center" vertical="center"/>
    </xf>
    <xf numFmtId="0" fontId="3" fillId="8" borderId="1" xfId="0" applyFont="1" applyFill="1" applyBorder="1" applyAlignment="1">
      <alignment vertical="center"/>
    </xf>
    <xf numFmtId="0" fontId="3" fillId="8" borderId="2" xfId="0" applyFont="1" applyFill="1" applyBorder="1" applyAlignment="1">
      <alignment horizontal="center" vertical="center"/>
    </xf>
    <xf numFmtId="0" fontId="3" fillId="8" borderId="2" xfId="0" applyFont="1" applyFill="1" applyBorder="1" applyAlignment="1">
      <alignment horizontal="left" vertical="center"/>
    </xf>
    <xf numFmtId="0" fontId="0" fillId="8" borderId="0" xfId="0" applyFill="1" applyAlignment="1">
      <alignment horizontal="left" vertical="center"/>
    </xf>
    <xf numFmtId="0" fontId="0" fillId="8" borderId="7" xfId="0" applyFill="1" applyBorder="1" applyAlignment="1">
      <alignment horizontal="center" vertical="center"/>
    </xf>
    <xf numFmtId="0" fontId="0" fillId="0" borderId="0" xfId="0" applyAlignment="1">
      <alignment horizontal="left" vertical="center" wrapText="1"/>
    </xf>
    <xf numFmtId="2" fontId="0" fillId="7" borderId="3" xfId="0" applyNumberFormat="1" applyFill="1" applyBorder="1" applyAlignment="1">
      <alignment horizontal="center" vertical="center"/>
    </xf>
    <xf numFmtId="0" fontId="3" fillId="6" borderId="5" xfId="0" applyFont="1" applyFill="1" applyBorder="1" applyAlignment="1">
      <alignment horizontal="center" vertical="center"/>
    </xf>
    <xf numFmtId="2" fontId="2" fillId="3" borderId="5" xfId="0" applyNumberFormat="1" applyFont="1" applyFill="1" applyBorder="1" applyAlignment="1">
      <alignment horizontal="center" vertical="center"/>
    </xf>
    <xf numFmtId="1" fontId="0" fillId="0" borderId="5" xfId="0" applyNumberFormat="1" applyBorder="1" applyAlignment="1">
      <alignment horizontal="center" vertical="center"/>
    </xf>
    <xf numFmtId="164" fontId="0" fillId="0" borderId="5" xfId="0" applyNumberFormat="1" applyBorder="1" applyAlignment="1">
      <alignment horizontal="center" vertical="center"/>
    </xf>
    <xf numFmtId="2" fontId="0" fillId="0" borderId="5" xfId="0" applyNumberFormat="1" applyBorder="1" applyAlignment="1">
      <alignment horizontal="center" vertical="center"/>
    </xf>
    <xf numFmtId="0" fontId="0" fillId="0" borderId="5" xfId="0" applyBorder="1" applyAlignment="1">
      <alignment horizontal="center" vertical="center"/>
    </xf>
    <xf numFmtId="1" fontId="0" fillId="0" borderId="8" xfId="0" applyNumberFormat="1" applyBorder="1" applyAlignment="1">
      <alignment horizontal="center" vertical="center"/>
    </xf>
    <xf numFmtId="2" fontId="6" fillId="3" borderId="5" xfId="0" applyNumberFormat="1" applyFont="1" applyFill="1" applyBorder="1" applyAlignment="1">
      <alignment horizontal="center" vertical="center"/>
    </xf>
    <xf numFmtId="2" fontId="0" fillId="9" borderId="8" xfId="0" applyNumberFormat="1" applyFill="1" applyBorder="1" applyAlignment="1">
      <alignment horizontal="center" vertical="center"/>
    </xf>
    <xf numFmtId="2" fontId="0" fillId="9" borderId="5" xfId="0" applyNumberFormat="1" applyFill="1" applyBorder="1" applyAlignment="1">
      <alignment horizontal="center" vertical="center"/>
    </xf>
    <xf numFmtId="2" fontId="0" fillId="0" borderId="8" xfId="0" applyNumberFormat="1" applyBorder="1" applyAlignment="1">
      <alignment horizontal="center" vertical="center"/>
    </xf>
    <xf numFmtId="0" fontId="1" fillId="2" borderId="2" xfId="0" applyFont="1" applyFill="1" applyBorder="1" applyAlignment="1">
      <alignment horizontal="center" vertical="center"/>
    </xf>
    <xf numFmtId="0" fontId="3" fillId="6" borderId="0" xfId="0" applyFont="1" applyFill="1" applyAlignment="1">
      <alignment horizontal="center" vertical="center"/>
    </xf>
    <xf numFmtId="0" fontId="2" fillId="3" borderId="0" xfId="0" applyFont="1" applyFill="1" applyAlignment="1">
      <alignment horizontal="center" vertical="center"/>
    </xf>
    <xf numFmtId="0" fontId="4" fillId="2" borderId="2" xfId="0" applyFont="1" applyFill="1" applyBorder="1" applyAlignment="1">
      <alignment horizontal="center" vertical="center"/>
    </xf>
    <xf numFmtId="0" fontId="1" fillId="2" borderId="1" xfId="0" applyFont="1" applyFill="1" applyBorder="1" applyAlignment="1">
      <alignment horizontal="left" vertical="center"/>
    </xf>
    <xf numFmtId="0" fontId="3" fillId="6" borderId="4" xfId="0" applyFont="1" applyFill="1" applyBorder="1" applyAlignment="1">
      <alignment horizontal="left" vertical="center"/>
    </xf>
    <xf numFmtId="0" fontId="2" fillId="3" borderId="4" xfId="0" applyFont="1" applyFill="1" applyBorder="1" applyAlignment="1">
      <alignment horizontal="left" vertical="center"/>
    </xf>
    <xf numFmtId="0" fontId="0" fillId="0" borderId="4" xfId="0" applyBorder="1" applyAlignment="1">
      <alignment horizontal="left" vertical="center"/>
    </xf>
    <xf numFmtId="0" fontId="0" fillId="0" borderId="6" xfId="0" applyBorder="1" applyAlignment="1">
      <alignment horizontal="left" vertical="center"/>
    </xf>
    <xf numFmtId="0" fontId="4" fillId="2" borderId="1" xfId="0" applyFont="1" applyFill="1" applyBorder="1" applyAlignment="1">
      <alignment horizontal="left" vertical="center"/>
    </xf>
    <xf numFmtId="0" fontId="7" fillId="0" borderId="4" xfId="0" applyFont="1" applyBorder="1" applyAlignment="1">
      <alignment horizontal="left" vertical="center"/>
    </xf>
    <xf numFmtId="0" fontId="8" fillId="0" borderId="0" xfId="0" applyFont="1" applyAlignment="1">
      <alignment vertical="center"/>
    </xf>
    <xf numFmtId="1" fontId="0" fillId="10" borderId="5" xfId="0" applyNumberFormat="1" applyFill="1" applyBorder="1" applyAlignment="1">
      <alignment horizontal="center" vertical="center"/>
    </xf>
    <xf numFmtId="164" fontId="0" fillId="10" borderId="5" xfId="0" applyNumberFormat="1" applyFill="1" applyBorder="1" applyAlignment="1">
      <alignment horizontal="center" vertical="center"/>
    </xf>
    <xf numFmtId="2" fontId="0" fillId="10" borderId="5" xfId="0" applyNumberFormat="1" applyFill="1" applyBorder="1" applyAlignment="1">
      <alignment horizontal="center" vertical="center"/>
    </xf>
    <xf numFmtId="165" fontId="0" fillId="10" borderId="5" xfId="0" applyNumberFormat="1" applyFill="1" applyBorder="1" applyAlignment="1">
      <alignment horizontal="center" vertical="center"/>
    </xf>
    <xf numFmtId="0" fontId="5" fillId="0" borderId="6" xfId="0" applyFont="1" applyBorder="1" applyAlignment="1">
      <alignment horizontal="left" vertical="center"/>
    </xf>
    <xf numFmtId="0" fontId="5" fillId="0" borderId="7" xfId="0" applyFont="1" applyBorder="1" applyAlignment="1">
      <alignment horizontal="center" vertical="center"/>
    </xf>
    <xf numFmtId="1" fontId="5" fillId="0" borderId="8" xfId="0" applyNumberFormat="1" applyFont="1" applyBorder="1" applyAlignment="1">
      <alignment horizontal="center" vertical="center"/>
    </xf>
    <xf numFmtId="0" fontId="5" fillId="0" borderId="4" xfId="0" applyFont="1" applyBorder="1" applyAlignment="1">
      <alignment horizontal="left" vertical="center"/>
    </xf>
    <xf numFmtId="0" fontId="5" fillId="0" borderId="0" xfId="0" applyFont="1" applyAlignment="1">
      <alignment horizontal="center" vertical="center"/>
    </xf>
    <xf numFmtId="1" fontId="5" fillId="0" borderId="5" xfId="0" applyNumberFormat="1" applyFont="1" applyBorder="1" applyAlignment="1">
      <alignment horizontal="center" vertical="center"/>
    </xf>
    <xf numFmtId="0" fontId="3" fillId="10" borderId="0" xfId="0" applyFont="1" applyFill="1" applyAlignment="1">
      <alignment horizontal="center" vertical="center"/>
    </xf>
    <xf numFmtId="45" fontId="0" fillId="0" borderId="0" xfId="0" applyNumberFormat="1" applyAlignment="1">
      <alignment vertical="center"/>
    </xf>
    <xf numFmtId="45" fontId="0" fillId="10" borderId="5" xfId="0" applyNumberFormat="1" applyFill="1" applyBorder="1" applyAlignment="1">
      <alignment horizontal="center" vertical="center"/>
    </xf>
    <xf numFmtId="2" fontId="0" fillId="10" borderId="8" xfId="0" applyNumberFormat="1" applyFill="1" applyBorder="1" applyAlignment="1">
      <alignment horizontal="center" vertical="center"/>
    </xf>
    <xf numFmtId="0" fontId="0" fillId="0" borderId="0" xfId="0" quotePrefix="1" applyAlignment="1">
      <alignment horizontal="left" vertical="center"/>
    </xf>
    <xf numFmtId="0" fontId="0" fillId="0" borderId="2" xfId="0" applyBorder="1" applyAlignment="1">
      <alignment horizontal="center" vertical="center"/>
    </xf>
    <xf numFmtId="0" fontId="0" fillId="0" borderId="4" xfId="0" applyBorder="1" applyAlignment="1">
      <alignment horizontal="right" vertical="center"/>
    </xf>
    <xf numFmtId="1" fontId="0" fillId="0" borderId="0" xfId="0" applyNumberFormat="1" applyAlignment="1">
      <alignment horizontal="center" vertical="center"/>
    </xf>
    <xf numFmtId="0" fontId="0" fillId="0" borderId="6" xfId="0" applyBorder="1" applyAlignment="1">
      <alignment horizontal="right" vertical="center"/>
    </xf>
    <xf numFmtId="1" fontId="0" fillId="0" borderId="7" xfId="0" applyNumberFormat="1" applyBorder="1" applyAlignment="1">
      <alignment horizontal="center" vertical="center"/>
    </xf>
    <xf numFmtId="0" fontId="0" fillId="0" borderId="1" xfId="0" applyBorder="1" applyAlignment="1">
      <alignment horizontal="right"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164" fontId="0" fillId="8" borderId="7" xfId="0" applyNumberFormat="1" applyFill="1" applyBorder="1" applyAlignment="1">
      <alignment horizontal="center" vertical="center"/>
    </xf>
    <xf numFmtId="2" fontId="0" fillId="8" borderId="7" xfId="0" applyNumberFormat="1" applyFill="1" applyBorder="1" applyAlignment="1">
      <alignment horizontal="center" vertical="center"/>
    </xf>
    <xf numFmtId="0" fontId="0" fillId="8" borderId="7" xfId="0" applyFill="1" applyBorder="1" applyAlignment="1">
      <alignment horizontal="left" vertical="center"/>
    </xf>
    <xf numFmtId="0" fontId="5" fillId="11" borderId="4" xfId="0" applyFont="1" applyFill="1" applyBorder="1" applyAlignment="1">
      <alignment horizontal="left" vertical="center"/>
    </xf>
    <xf numFmtId="0" fontId="5" fillId="11" borderId="0" xfId="0" applyFont="1" applyFill="1" applyAlignment="1">
      <alignment horizontal="center" vertical="center"/>
    </xf>
    <xf numFmtId="1" fontId="5" fillId="11" borderId="5" xfId="0" applyNumberFormat="1" applyFont="1" applyFill="1" applyBorder="1" applyAlignment="1">
      <alignment horizontal="center" vertical="center"/>
    </xf>
    <xf numFmtId="2" fontId="3" fillId="5" borderId="0" xfId="0" applyNumberFormat="1" applyFont="1" applyFill="1" applyAlignment="1">
      <alignment vertical="center"/>
    </xf>
    <xf numFmtId="165" fontId="0" fillId="0" borderId="0" xfId="0" applyNumberFormat="1" applyAlignment="1">
      <alignment horizontal="center" vertical="center"/>
    </xf>
    <xf numFmtId="166" fontId="0" fillId="0" borderId="0" xfId="0" applyNumberFormat="1" applyAlignment="1">
      <alignment horizontal="center" vertical="center"/>
    </xf>
    <xf numFmtId="167" fontId="0" fillId="0" borderId="0" xfId="0" applyNumberFormat="1" applyAlignment="1">
      <alignment horizontal="center" vertical="center"/>
    </xf>
    <xf numFmtId="168" fontId="0" fillId="0" borderId="0" xfId="0" applyNumberFormat="1" applyAlignment="1">
      <alignment horizontal="center" vertical="center"/>
    </xf>
    <xf numFmtId="164" fontId="0" fillId="0" borderId="0" xfId="0" applyNumberFormat="1" applyAlignment="1">
      <alignment horizontal="center" vertical="center"/>
    </xf>
    <xf numFmtId="0" fontId="3" fillId="0" borderId="0" xfId="0" applyFont="1"/>
    <xf numFmtId="168" fontId="0" fillId="0" borderId="8" xfId="0" applyNumberFormat="1" applyBorder="1" applyAlignment="1">
      <alignment horizontal="center" vertical="center"/>
    </xf>
    <xf numFmtId="169" fontId="0" fillId="0" borderId="0" xfId="0" applyNumberFormat="1" applyAlignment="1">
      <alignment horizontal="center" vertical="center"/>
    </xf>
    <xf numFmtId="0" fontId="3" fillId="12" borderId="0" xfId="0" applyFont="1" applyFill="1" applyAlignment="1">
      <alignment horizontal="center"/>
    </xf>
    <xf numFmtId="164" fontId="0" fillId="0" borderId="0" xfId="0" applyNumberFormat="1"/>
    <xf numFmtId="1" fontId="0" fillId="0" borderId="0" xfId="0" applyNumberFormat="1"/>
    <xf numFmtId="0" fontId="0" fillId="12" borderId="0" xfId="0" applyFill="1"/>
    <xf numFmtId="168" fontId="5" fillId="0" borderId="0" xfId="0" applyNumberFormat="1" applyFont="1" applyAlignment="1">
      <alignment horizontal="center" vertical="center"/>
    </xf>
    <xf numFmtId="45" fontId="0" fillId="0" borderId="0" xfId="0" applyNumberFormat="1" applyAlignment="1">
      <alignment horizontal="center" vertical="center"/>
    </xf>
    <xf numFmtId="0" fontId="3" fillId="13" borderId="0" xfId="0" applyFont="1" applyFill="1" applyAlignment="1">
      <alignment horizontal="center" vertical="center"/>
    </xf>
    <xf numFmtId="0" fontId="3" fillId="14" borderId="0" xfId="0" applyFont="1" applyFill="1" applyAlignment="1">
      <alignment horizontal="center" vertical="center"/>
    </xf>
    <xf numFmtId="0" fontId="3" fillId="15" borderId="0" xfId="0" applyFont="1" applyFill="1" applyAlignment="1">
      <alignment horizontal="center" vertical="center"/>
    </xf>
    <xf numFmtId="10" fontId="0" fillId="0" borderId="0" xfId="1" applyNumberFormat="1" applyFont="1" applyAlignment="1">
      <alignment horizontal="center" vertical="center"/>
    </xf>
    <xf numFmtId="0" fontId="0" fillId="16" borderId="0" xfId="0" applyFill="1"/>
    <xf numFmtId="1" fontId="0" fillId="16" borderId="5" xfId="0" applyNumberFormat="1" applyFill="1" applyBorder="1" applyAlignment="1">
      <alignment horizontal="center" vertical="center"/>
    </xf>
    <xf numFmtId="164" fontId="0" fillId="16" borderId="5" xfId="0" applyNumberFormat="1" applyFill="1" applyBorder="1" applyAlignment="1">
      <alignment horizontal="center" vertical="center"/>
    </xf>
    <xf numFmtId="2" fontId="0" fillId="16" borderId="5" xfId="0" applyNumberFormat="1" applyFill="1" applyBorder="1" applyAlignment="1">
      <alignment horizontal="center" vertical="center"/>
    </xf>
    <xf numFmtId="1" fontId="0" fillId="16" borderId="8" xfId="0" applyNumberFormat="1" applyFill="1" applyBorder="1" applyAlignment="1">
      <alignment horizontal="center" vertical="center"/>
    </xf>
    <xf numFmtId="0" fontId="0" fillId="13" borderId="0" xfId="0" applyFill="1"/>
    <xf numFmtId="0" fontId="0" fillId="14" borderId="0" xfId="0" applyFill="1"/>
    <xf numFmtId="0" fontId="3" fillId="17" borderId="0" xfId="0" applyFont="1" applyFill="1" applyAlignment="1">
      <alignment horizontal="center" vertical="center"/>
    </xf>
    <xf numFmtId="0" fontId="0" fillId="17" borderId="0" xfId="0" applyFill="1"/>
    <xf numFmtId="0" fontId="0" fillId="4" borderId="0" xfId="0" applyFill="1"/>
    <xf numFmtId="0" fontId="0" fillId="15" borderId="0" xfId="0" applyFill="1"/>
    <xf numFmtId="0" fontId="0" fillId="18" borderId="0" xfId="0" applyFill="1"/>
    <xf numFmtId="0" fontId="3" fillId="18" borderId="0" xfId="0" applyFont="1" applyFill="1" applyAlignment="1">
      <alignment horizontal="center" vertical="center"/>
    </xf>
    <xf numFmtId="164" fontId="3" fillId="15" borderId="0" xfId="0" applyNumberFormat="1" applyFont="1" applyFill="1" applyAlignment="1">
      <alignment horizontal="center" vertical="center"/>
    </xf>
    <xf numFmtId="0" fontId="3" fillId="4" borderId="0" xfId="0" applyFont="1" applyFill="1" applyAlignment="1">
      <alignment horizontal="center" vertical="center"/>
    </xf>
    <xf numFmtId="45" fontId="10" fillId="0" borderId="0" xfId="0" applyNumberFormat="1" applyFont="1" applyAlignment="1">
      <alignment horizontal="center" vertical="center"/>
    </xf>
    <xf numFmtId="0" fontId="10" fillId="0" borderId="0" xfId="0" applyFont="1" applyAlignment="1">
      <alignment horizontal="center" vertical="center"/>
    </xf>
    <xf numFmtId="0" fontId="0" fillId="0" borderId="0" xfId="0" applyAlignment="1">
      <alignment horizontal="center"/>
    </xf>
    <xf numFmtId="0" fontId="0" fillId="0" borderId="4" xfId="0" applyBorder="1" applyAlignment="1">
      <alignment horizontal="left" vertical="center" wrapText="1"/>
    </xf>
    <xf numFmtId="0" fontId="0" fillId="0" borderId="6" xfId="0" applyBorder="1" applyAlignment="1">
      <alignment horizontal="left" vertical="center" wrapText="1"/>
    </xf>
  </cellXfs>
  <cellStyles count="2">
    <cellStyle name="Procent" xfId="1" builtinId="5"/>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'Uurlijkse calc'!$Y$2</c:f>
              <c:strCache>
                <c:ptCount val="1"/>
                <c:pt idx="0">
                  <c:v>g_carb/min</c:v>
                </c:pt>
              </c:strCache>
            </c:strRef>
          </c:tx>
          <c:spPr>
            <a:ln w="28575" cap="rnd">
              <a:solidFill>
                <a:schemeClr val="accent2"/>
              </a:solidFill>
              <a:round/>
            </a:ln>
            <a:effectLst/>
          </c:spPr>
          <c:marker>
            <c:symbol val="none"/>
          </c:marker>
          <c:cat>
            <c:numRef>
              <c:f>'Uurlijkse calc'!$E$3:$E$482</c:f>
              <c:numCache>
                <c:formatCode>h:mm;@</c:formatCode>
                <c:ptCount val="480"/>
                <c:pt idx="0">
                  <c:v>1.0006944444444446</c:v>
                </c:pt>
                <c:pt idx="1">
                  <c:v>1.0013888888888891</c:v>
                </c:pt>
                <c:pt idx="2">
                  <c:v>1.0020833333333337</c:v>
                </c:pt>
                <c:pt idx="3">
                  <c:v>1.0027777777777782</c:v>
                </c:pt>
                <c:pt idx="4">
                  <c:v>1.0034722222222228</c:v>
                </c:pt>
                <c:pt idx="5">
                  <c:v>1.0041666666666673</c:v>
                </c:pt>
                <c:pt idx="6">
                  <c:v>1.0048611111111119</c:v>
                </c:pt>
                <c:pt idx="7">
                  <c:v>1.0055555555555564</c:v>
                </c:pt>
                <c:pt idx="8">
                  <c:v>1.006250000000001</c:v>
                </c:pt>
                <c:pt idx="9">
                  <c:v>1.0069444444444455</c:v>
                </c:pt>
                <c:pt idx="10">
                  <c:v>1.0076388888888901</c:v>
                </c:pt>
                <c:pt idx="11">
                  <c:v>1.0083333333333346</c:v>
                </c:pt>
                <c:pt idx="12">
                  <c:v>1.0090277777777792</c:v>
                </c:pt>
                <c:pt idx="13">
                  <c:v>1.0097222222222237</c:v>
                </c:pt>
                <c:pt idx="14">
                  <c:v>1.0104166666666683</c:v>
                </c:pt>
                <c:pt idx="15">
                  <c:v>1.0111111111111128</c:v>
                </c:pt>
                <c:pt idx="16">
                  <c:v>1.0118055555555574</c:v>
                </c:pt>
                <c:pt idx="17">
                  <c:v>1.012500000000002</c:v>
                </c:pt>
                <c:pt idx="18">
                  <c:v>1.0131944444444465</c:v>
                </c:pt>
                <c:pt idx="19">
                  <c:v>1.0138888888888911</c:v>
                </c:pt>
                <c:pt idx="20">
                  <c:v>1.0145833333333356</c:v>
                </c:pt>
                <c:pt idx="21">
                  <c:v>1.0152777777777802</c:v>
                </c:pt>
                <c:pt idx="22">
                  <c:v>1.0159722222222247</c:v>
                </c:pt>
                <c:pt idx="23">
                  <c:v>1.0166666666666693</c:v>
                </c:pt>
                <c:pt idx="24">
                  <c:v>1.0173611111111138</c:v>
                </c:pt>
                <c:pt idx="25">
                  <c:v>1.0180555555555584</c:v>
                </c:pt>
                <c:pt idx="26">
                  <c:v>1.0187500000000029</c:v>
                </c:pt>
                <c:pt idx="27">
                  <c:v>1.0194444444444475</c:v>
                </c:pt>
                <c:pt idx="28">
                  <c:v>1.020138888888892</c:v>
                </c:pt>
                <c:pt idx="29">
                  <c:v>1.0208333333333366</c:v>
                </c:pt>
                <c:pt idx="30">
                  <c:v>1.0215277777777811</c:v>
                </c:pt>
                <c:pt idx="31">
                  <c:v>1.0222222222222257</c:v>
                </c:pt>
                <c:pt idx="32">
                  <c:v>1.0229166666666702</c:v>
                </c:pt>
                <c:pt idx="33">
                  <c:v>1.0236111111111148</c:v>
                </c:pt>
                <c:pt idx="34">
                  <c:v>1.0243055555555594</c:v>
                </c:pt>
                <c:pt idx="35">
                  <c:v>1.0250000000000039</c:v>
                </c:pt>
                <c:pt idx="36">
                  <c:v>1.0256944444444485</c:v>
                </c:pt>
                <c:pt idx="37">
                  <c:v>1.026388888888893</c:v>
                </c:pt>
                <c:pt idx="38">
                  <c:v>1.0270833333333376</c:v>
                </c:pt>
                <c:pt idx="39">
                  <c:v>1.0277777777777821</c:v>
                </c:pt>
                <c:pt idx="40">
                  <c:v>1.0284722222222267</c:v>
                </c:pt>
                <c:pt idx="41">
                  <c:v>1.0291666666666712</c:v>
                </c:pt>
                <c:pt idx="42">
                  <c:v>1.0298611111111158</c:v>
                </c:pt>
                <c:pt idx="43">
                  <c:v>1.0305555555555603</c:v>
                </c:pt>
                <c:pt idx="44">
                  <c:v>1.0312500000000049</c:v>
                </c:pt>
                <c:pt idx="45">
                  <c:v>1.0319444444444494</c:v>
                </c:pt>
                <c:pt idx="46">
                  <c:v>1.032638888888894</c:v>
                </c:pt>
                <c:pt idx="47">
                  <c:v>1.0333333333333385</c:v>
                </c:pt>
                <c:pt idx="48">
                  <c:v>1.0340277777777831</c:v>
                </c:pt>
                <c:pt idx="49">
                  <c:v>1.0347222222222276</c:v>
                </c:pt>
                <c:pt idx="50">
                  <c:v>1.0354166666666722</c:v>
                </c:pt>
                <c:pt idx="51">
                  <c:v>1.0361111111111168</c:v>
                </c:pt>
                <c:pt idx="52">
                  <c:v>1.0368055555555613</c:v>
                </c:pt>
                <c:pt idx="53">
                  <c:v>1.0375000000000059</c:v>
                </c:pt>
                <c:pt idx="54">
                  <c:v>1.0381944444444504</c:v>
                </c:pt>
                <c:pt idx="55">
                  <c:v>1.038888888888895</c:v>
                </c:pt>
                <c:pt idx="56">
                  <c:v>1.0395833333333395</c:v>
                </c:pt>
                <c:pt idx="57">
                  <c:v>1.0402777777777841</c:v>
                </c:pt>
                <c:pt idx="58">
                  <c:v>1.0409722222222286</c:v>
                </c:pt>
                <c:pt idx="59">
                  <c:v>1.0416666666666732</c:v>
                </c:pt>
                <c:pt idx="60">
                  <c:v>1.0423611111111177</c:v>
                </c:pt>
                <c:pt idx="61">
                  <c:v>1.0430555555555623</c:v>
                </c:pt>
                <c:pt idx="62">
                  <c:v>1.0437500000000068</c:v>
                </c:pt>
                <c:pt idx="63">
                  <c:v>1.0444444444444514</c:v>
                </c:pt>
                <c:pt idx="64">
                  <c:v>1.0451388888888959</c:v>
                </c:pt>
                <c:pt idx="65">
                  <c:v>1.0458333333333405</c:v>
                </c:pt>
                <c:pt idx="66">
                  <c:v>1.0465277777777851</c:v>
                </c:pt>
                <c:pt idx="67">
                  <c:v>1.0472222222222296</c:v>
                </c:pt>
                <c:pt idx="68">
                  <c:v>1.0479166666666742</c:v>
                </c:pt>
                <c:pt idx="69">
                  <c:v>1.0486111111111187</c:v>
                </c:pt>
                <c:pt idx="70">
                  <c:v>1.0493055555555633</c:v>
                </c:pt>
                <c:pt idx="71">
                  <c:v>1.0500000000000078</c:v>
                </c:pt>
                <c:pt idx="72">
                  <c:v>1.0506944444444524</c:v>
                </c:pt>
                <c:pt idx="73">
                  <c:v>1.0513888888888969</c:v>
                </c:pt>
                <c:pt idx="74">
                  <c:v>1.0520833333333415</c:v>
                </c:pt>
                <c:pt idx="75">
                  <c:v>1.052777777777786</c:v>
                </c:pt>
                <c:pt idx="76">
                  <c:v>1.0534722222222306</c:v>
                </c:pt>
                <c:pt idx="77">
                  <c:v>1.0541666666666751</c:v>
                </c:pt>
                <c:pt idx="78">
                  <c:v>1.0548611111111197</c:v>
                </c:pt>
                <c:pt idx="79">
                  <c:v>1.0555555555555642</c:v>
                </c:pt>
                <c:pt idx="80">
                  <c:v>1.0562500000000088</c:v>
                </c:pt>
                <c:pt idx="81">
                  <c:v>1.0569444444444533</c:v>
                </c:pt>
                <c:pt idx="82">
                  <c:v>1.0576388888888979</c:v>
                </c:pt>
                <c:pt idx="83">
                  <c:v>1.0583333333333425</c:v>
                </c:pt>
                <c:pt idx="84">
                  <c:v>1.059027777777787</c:v>
                </c:pt>
                <c:pt idx="85">
                  <c:v>1.0597222222222316</c:v>
                </c:pt>
                <c:pt idx="86">
                  <c:v>1.0604166666666761</c:v>
                </c:pt>
                <c:pt idx="87">
                  <c:v>1.0611111111111207</c:v>
                </c:pt>
                <c:pt idx="88">
                  <c:v>1.0618055555555652</c:v>
                </c:pt>
                <c:pt idx="89">
                  <c:v>1.0625000000000098</c:v>
                </c:pt>
                <c:pt idx="90">
                  <c:v>1.0631944444444543</c:v>
                </c:pt>
                <c:pt idx="91">
                  <c:v>1.0638888888888989</c:v>
                </c:pt>
                <c:pt idx="92">
                  <c:v>1.0645833333333434</c:v>
                </c:pt>
                <c:pt idx="93">
                  <c:v>1.065277777777788</c:v>
                </c:pt>
                <c:pt idx="94">
                  <c:v>1.0659722222222325</c:v>
                </c:pt>
                <c:pt idx="95">
                  <c:v>1.0666666666666771</c:v>
                </c:pt>
                <c:pt idx="96">
                  <c:v>1.0673611111111216</c:v>
                </c:pt>
                <c:pt idx="97">
                  <c:v>1.0680555555555662</c:v>
                </c:pt>
                <c:pt idx="98">
                  <c:v>1.0687500000000107</c:v>
                </c:pt>
                <c:pt idx="99">
                  <c:v>1.0694444444444553</c:v>
                </c:pt>
                <c:pt idx="100">
                  <c:v>1.0701388888888999</c:v>
                </c:pt>
                <c:pt idx="101">
                  <c:v>1.0708333333333444</c:v>
                </c:pt>
                <c:pt idx="102">
                  <c:v>1.071527777777789</c:v>
                </c:pt>
                <c:pt idx="103">
                  <c:v>1.0722222222222335</c:v>
                </c:pt>
                <c:pt idx="104">
                  <c:v>1.0729166666666781</c:v>
                </c:pt>
                <c:pt idx="105">
                  <c:v>1.0736111111111226</c:v>
                </c:pt>
                <c:pt idx="106">
                  <c:v>1.0743055555555672</c:v>
                </c:pt>
                <c:pt idx="107">
                  <c:v>1.0750000000000117</c:v>
                </c:pt>
                <c:pt idx="108">
                  <c:v>1.0756944444444563</c:v>
                </c:pt>
                <c:pt idx="109">
                  <c:v>1.0763888888889008</c:v>
                </c:pt>
                <c:pt idx="110">
                  <c:v>1.0770833333333454</c:v>
                </c:pt>
                <c:pt idx="111">
                  <c:v>1.0777777777777899</c:v>
                </c:pt>
                <c:pt idx="112">
                  <c:v>1.0784722222222345</c:v>
                </c:pt>
                <c:pt idx="113">
                  <c:v>1.079166666666679</c:v>
                </c:pt>
                <c:pt idx="114">
                  <c:v>1.0798611111111236</c:v>
                </c:pt>
                <c:pt idx="115">
                  <c:v>1.0805555555555681</c:v>
                </c:pt>
                <c:pt idx="116">
                  <c:v>1.0812500000000127</c:v>
                </c:pt>
                <c:pt idx="117">
                  <c:v>1.0819444444444573</c:v>
                </c:pt>
                <c:pt idx="118">
                  <c:v>1.0826388888889018</c:v>
                </c:pt>
                <c:pt idx="119">
                  <c:v>1.0833333333333464</c:v>
                </c:pt>
                <c:pt idx="120">
                  <c:v>1.0840277777777909</c:v>
                </c:pt>
                <c:pt idx="121">
                  <c:v>1.0847222222222355</c:v>
                </c:pt>
                <c:pt idx="122">
                  <c:v>1.08541666666668</c:v>
                </c:pt>
                <c:pt idx="123">
                  <c:v>1.0861111111111246</c:v>
                </c:pt>
                <c:pt idx="124">
                  <c:v>1.0868055555555691</c:v>
                </c:pt>
                <c:pt idx="125">
                  <c:v>1.0875000000000137</c:v>
                </c:pt>
                <c:pt idx="126">
                  <c:v>1.0881944444444582</c:v>
                </c:pt>
                <c:pt idx="127">
                  <c:v>1.0888888888889028</c:v>
                </c:pt>
                <c:pt idx="128">
                  <c:v>1.0895833333333473</c:v>
                </c:pt>
                <c:pt idx="129">
                  <c:v>1.0902777777777919</c:v>
                </c:pt>
                <c:pt idx="130">
                  <c:v>1.0909722222222364</c:v>
                </c:pt>
                <c:pt idx="131">
                  <c:v>1.091666666666681</c:v>
                </c:pt>
                <c:pt idx="132">
                  <c:v>1.0923611111111255</c:v>
                </c:pt>
                <c:pt idx="133">
                  <c:v>1.0930555555555701</c:v>
                </c:pt>
                <c:pt idx="134">
                  <c:v>1.0937500000000147</c:v>
                </c:pt>
                <c:pt idx="135">
                  <c:v>1.0944444444444592</c:v>
                </c:pt>
                <c:pt idx="136">
                  <c:v>1.0951388888889038</c:v>
                </c:pt>
                <c:pt idx="137">
                  <c:v>1.0958333333333483</c:v>
                </c:pt>
                <c:pt idx="138">
                  <c:v>1.0965277777777929</c:v>
                </c:pt>
                <c:pt idx="139">
                  <c:v>1.0972222222222374</c:v>
                </c:pt>
                <c:pt idx="140">
                  <c:v>1.097916666666682</c:v>
                </c:pt>
                <c:pt idx="141">
                  <c:v>1.0986111111111265</c:v>
                </c:pt>
                <c:pt idx="142">
                  <c:v>1.0993055555555711</c:v>
                </c:pt>
                <c:pt idx="143">
                  <c:v>1.1000000000000156</c:v>
                </c:pt>
                <c:pt idx="144">
                  <c:v>1.1006944444444602</c:v>
                </c:pt>
                <c:pt idx="145">
                  <c:v>1.1013888888889047</c:v>
                </c:pt>
                <c:pt idx="146">
                  <c:v>1.1020833333333493</c:v>
                </c:pt>
                <c:pt idx="147">
                  <c:v>1.1027777777777938</c:v>
                </c:pt>
                <c:pt idx="148">
                  <c:v>1.1034722222222384</c:v>
                </c:pt>
                <c:pt idx="149">
                  <c:v>1.1041666666666829</c:v>
                </c:pt>
                <c:pt idx="150">
                  <c:v>1.1048611111111275</c:v>
                </c:pt>
                <c:pt idx="151">
                  <c:v>1.1055555555555721</c:v>
                </c:pt>
                <c:pt idx="152">
                  <c:v>1.1062500000000166</c:v>
                </c:pt>
                <c:pt idx="153">
                  <c:v>1.1069444444444612</c:v>
                </c:pt>
                <c:pt idx="154">
                  <c:v>1.1076388888889057</c:v>
                </c:pt>
                <c:pt idx="155">
                  <c:v>1.1083333333333503</c:v>
                </c:pt>
                <c:pt idx="156">
                  <c:v>1.1090277777777948</c:v>
                </c:pt>
                <c:pt idx="157">
                  <c:v>1.1097222222222394</c:v>
                </c:pt>
                <c:pt idx="158">
                  <c:v>1.1104166666666839</c:v>
                </c:pt>
                <c:pt idx="159">
                  <c:v>1.1111111111111285</c:v>
                </c:pt>
                <c:pt idx="160">
                  <c:v>1.111805555555573</c:v>
                </c:pt>
                <c:pt idx="161">
                  <c:v>1.1125000000000176</c:v>
                </c:pt>
                <c:pt idx="162">
                  <c:v>1.1131944444444621</c:v>
                </c:pt>
                <c:pt idx="163">
                  <c:v>1.1138888888889067</c:v>
                </c:pt>
                <c:pt idx="164">
                  <c:v>1.1145833333333512</c:v>
                </c:pt>
                <c:pt idx="165">
                  <c:v>1.1152777777777958</c:v>
                </c:pt>
                <c:pt idx="166">
                  <c:v>1.1159722222222404</c:v>
                </c:pt>
                <c:pt idx="167">
                  <c:v>1.1166666666666849</c:v>
                </c:pt>
                <c:pt idx="168">
                  <c:v>1.1173611111111295</c:v>
                </c:pt>
                <c:pt idx="169">
                  <c:v>1.118055555555574</c:v>
                </c:pt>
                <c:pt idx="170">
                  <c:v>1.1187500000000186</c:v>
                </c:pt>
                <c:pt idx="171">
                  <c:v>1.1194444444444631</c:v>
                </c:pt>
                <c:pt idx="172">
                  <c:v>1.1201388888889077</c:v>
                </c:pt>
                <c:pt idx="173">
                  <c:v>1.1208333333333522</c:v>
                </c:pt>
                <c:pt idx="174">
                  <c:v>1.1215277777777968</c:v>
                </c:pt>
                <c:pt idx="175">
                  <c:v>1.1222222222222413</c:v>
                </c:pt>
                <c:pt idx="176">
                  <c:v>1.1229166666666859</c:v>
                </c:pt>
                <c:pt idx="177">
                  <c:v>1.1236111111111304</c:v>
                </c:pt>
                <c:pt idx="178">
                  <c:v>1.124305555555575</c:v>
                </c:pt>
                <c:pt idx="179">
                  <c:v>1.1250000000000195</c:v>
                </c:pt>
                <c:pt idx="180">
                  <c:v>1.1256944444444641</c:v>
                </c:pt>
                <c:pt idx="181">
                  <c:v>1.1263888888889086</c:v>
                </c:pt>
                <c:pt idx="182">
                  <c:v>1.1270833333333532</c:v>
                </c:pt>
                <c:pt idx="183">
                  <c:v>1.1277777777777978</c:v>
                </c:pt>
                <c:pt idx="184">
                  <c:v>1.1284722222222423</c:v>
                </c:pt>
                <c:pt idx="185">
                  <c:v>1.1291666666666869</c:v>
                </c:pt>
                <c:pt idx="186">
                  <c:v>1.1298611111111314</c:v>
                </c:pt>
                <c:pt idx="187">
                  <c:v>1.130555555555576</c:v>
                </c:pt>
                <c:pt idx="188">
                  <c:v>1.1312500000000205</c:v>
                </c:pt>
                <c:pt idx="189">
                  <c:v>1.1319444444444651</c:v>
                </c:pt>
                <c:pt idx="190">
                  <c:v>1.1326388888889096</c:v>
                </c:pt>
                <c:pt idx="191">
                  <c:v>1.1333333333333542</c:v>
                </c:pt>
                <c:pt idx="192">
                  <c:v>1.1340277777777987</c:v>
                </c:pt>
                <c:pt idx="193">
                  <c:v>1.1347222222222433</c:v>
                </c:pt>
                <c:pt idx="194">
                  <c:v>1.1354166666666878</c:v>
                </c:pt>
                <c:pt idx="195">
                  <c:v>1.1361111111111324</c:v>
                </c:pt>
                <c:pt idx="196">
                  <c:v>1.1368055555555769</c:v>
                </c:pt>
                <c:pt idx="197">
                  <c:v>1.1375000000000215</c:v>
                </c:pt>
                <c:pt idx="198">
                  <c:v>1.138194444444466</c:v>
                </c:pt>
                <c:pt idx="199">
                  <c:v>1.1388888888889106</c:v>
                </c:pt>
                <c:pt idx="200">
                  <c:v>1.1395833333333552</c:v>
                </c:pt>
                <c:pt idx="201">
                  <c:v>1.1402777777777997</c:v>
                </c:pt>
                <c:pt idx="202">
                  <c:v>1.1409722222222443</c:v>
                </c:pt>
                <c:pt idx="203">
                  <c:v>1.1416666666666888</c:v>
                </c:pt>
                <c:pt idx="204">
                  <c:v>1.1423611111111334</c:v>
                </c:pt>
                <c:pt idx="205">
                  <c:v>1.1430555555555779</c:v>
                </c:pt>
                <c:pt idx="206">
                  <c:v>1.1437500000000225</c:v>
                </c:pt>
                <c:pt idx="207">
                  <c:v>1.144444444444467</c:v>
                </c:pt>
                <c:pt idx="208">
                  <c:v>1.1451388888889116</c:v>
                </c:pt>
                <c:pt idx="209">
                  <c:v>1.1458333333333561</c:v>
                </c:pt>
                <c:pt idx="210">
                  <c:v>1.1465277777778007</c:v>
                </c:pt>
                <c:pt idx="211">
                  <c:v>1.1472222222222452</c:v>
                </c:pt>
                <c:pt idx="212">
                  <c:v>1.1479166666666898</c:v>
                </c:pt>
                <c:pt idx="213">
                  <c:v>1.1486111111111343</c:v>
                </c:pt>
                <c:pt idx="214">
                  <c:v>1.1493055555555789</c:v>
                </c:pt>
                <c:pt idx="215">
                  <c:v>1.1500000000000234</c:v>
                </c:pt>
                <c:pt idx="216">
                  <c:v>1.150694444444468</c:v>
                </c:pt>
                <c:pt idx="217">
                  <c:v>1.1513888888889126</c:v>
                </c:pt>
                <c:pt idx="218">
                  <c:v>1.1520833333333571</c:v>
                </c:pt>
                <c:pt idx="219">
                  <c:v>1.1527777777778017</c:v>
                </c:pt>
                <c:pt idx="220">
                  <c:v>1.1534722222222462</c:v>
                </c:pt>
                <c:pt idx="221">
                  <c:v>1.1541666666666908</c:v>
                </c:pt>
                <c:pt idx="222">
                  <c:v>1.1548611111111353</c:v>
                </c:pt>
                <c:pt idx="223">
                  <c:v>1.1555555555555799</c:v>
                </c:pt>
                <c:pt idx="224">
                  <c:v>1.1562500000000244</c:v>
                </c:pt>
                <c:pt idx="225">
                  <c:v>1.156944444444469</c:v>
                </c:pt>
                <c:pt idx="226">
                  <c:v>1.1576388888889135</c:v>
                </c:pt>
                <c:pt idx="227">
                  <c:v>1.1583333333333581</c:v>
                </c:pt>
                <c:pt idx="228">
                  <c:v>1.1590277777778026</c:v>
                </c:pt>
                <c:pt idx="229">
                  <c:v>1.1597222222222472</c:v>
                </c:pt>
                <c:pt idx="230">
                  <c:v>1.1604166666666917</c:v>
                </c:pt>
                <c:pt idx="231">
                  <c:v>1.1611111111111363</c:v>
                </c:pt>
                <c:pt idx="232">
                  <c:v>1.1618055555555808</c:v>
                </c:pt>
                <c:pt idx="233">
                  <c:v>1.1625000000000254</c:v>
                </c:pt>
                <c:pt idx="234">
                  <c:v>1.16319444444447</c:v>
                </c:pt>
                <c:pt idx="235">
                  <c:v>1.1638888888889145</c:v>
                </c:pt>
                <c:pt idx="236">
                  <c:v>1.1645833333333591</c:v>
                </c:pt>
                <c:pt idx="237">
                  <c:v>1.1652777777778036</c:v>
                </c:pt>
                <c:pt idx="238">
                  <c:v>1.1659722222222482</c:v>
                </c:pt>
                <c:pt idx="239">
                  <c:v>1.1666666666666927</c:v>
                </c:pt>
                <c:pt idx="240">
                  <c:v>1.1673611111111373</c:v>
                </c:pt>
                <c:pt idx="241">
                  <c:v>1.1680555555555818</c:v>
                </c:pt>
                <c:pt idx="242">
                  <c:v>1.1687500000000264</c:v>
                </c:pt>
                <c:pt idx="243">
                  <c:v>1.1694444444444709</c:v>
                </c:pt>
                <c:pt idx="244">
                  <c:v>1.1701388888889155</c:v>
                </c:pt>
                <c:pt idx="245">
                  <c:v>1.17083333333336</c:v>
                </c:pt>
                <c:pt idx="246">
                  <c:v>1.1715277777778046</c:v>
                </c:pt>
                <c:pt idx="247">
                  <c:v>1.1722222222222491</c:v>
                </c:pt>
                <c:pt idx="248">
                  <c:v>1.1729166666666937</c:v>
                </c:pt>
                <c:pt idx="249">
                  <c:v>1.1736111111111382</c:v>
                </c:pt>
                <c:pt idx="250">
                  <c:v>1.1743055555555828</c:v>
                </c:pt>
                <c:pt idx="251">
                  <c:v>1.1750000000000274</c:v>
                </c:pt>
                <c:pt idx="252">
                  <c:v>1.1756944444444719</c:v>
                </c:pt>
                <c:pt idx="253">
                  <c:v>1.1763888888889165</c:v>
                </c:pt>
                <c:pt idx="254">
                  <c:v>1.177083333333361</c:v>
                </c:pt>
                <c:pt idx="255">
                  <c:v>1.1777777777778056</c:v>
                </c:pt>
                <c:pt idx="256">
                  <c:v>1.1784722222222501</c:v>
                </c:pt>
                <c:pt idx="257">
                  <c:v>1.1791666666666947</c:v>
                </c:pt>
                <c:pt idx="258">
                  <c:v>1.1798611111111392</c:v>
                </c:pt>
                <c:pt idx="259">
                  <c:v>1.1805555555555838</c:v>
                </c:pt>
                <c:pt idx="260">
                  <c:v>1.1812500000000283</c:v>
                </c:pt>
                <c:pt idx="261">
                  <c:v>1.1819444444444729</c:v>
                </c:pt>
                <c:pt idx="262">
                  <c:v>1.1826388888889174</c:v>
                </c:pt>
                <c:pt idx="263">
                  <c:v>1.183333333333362</c:v>
                </c:pt>
                <c:pt idx="264">
                  <c:v>1.1840277777778065</c:v>
                </c:pt>
                <c:pt idx="265">
                  <c:v>1.1847222222222511</c:v>
                </c:pt>
                <c:pt idx="266">
                  <c:v>1.1854166666666957</c:v>
                </c:pt>
                <c:pt idx="267">
                  <c:v>1.1861111111111402</c:v>
                </c:pt>
                <c:pt idx="268">
                  <c:v>1.1868055555555848</c:v>
                </c:pt>
                <c:pt idx="269">
                  <c:v>1.1875000000000293</c:v>
                </c:pt>
                <c:pt idx="270">
                  <c:v>1.1881944444444739</c:v>
                </c:pt>
                <c:pt idx="271">
                  <c:v>1.1888888888889184</c:v>
                </c:pt>
                <c:pt idx="272">
                  <c:v>1.189583333333363</c:v>
                </c:pt>
                <c:pt idx="273">
                  <c:v>1.1902777777778075</c:v>
                </c:pt>
                <c:pt idx="274">
                  <c:v>1.1909722222222521</c:v>
                </c:pt>
                <c:pt idx="275">
                  <c:v>1.1916666666666966</c:v>
                </c:pt>
                <c:pt idx="276">
                  <c:v>1.1923611111111412</c:v>
                </c:pt>
                <c:pt idx="277">
                  <c:v>1.1930555555555857</c:v>
                </c:pt>
                <c:pt idx="278">
                  <c:v>1.1937500000000303</c:v>
                </c:pt>
                <c:pt idx="279">
                  <c:v>1.1944444444444748</c:v>
                </c:pt>
                <c:pt idx="280">
                  <c:v>1.1951388888889194</c:v>
                </c:pt>
                <c:pt idx="281">
                  <c:v>1.1958333333333639</c:v>
                </c:pt>
                <c:pt idx="282">
                  <c:v>1.1965277777778085</c:v>
                </c:pt>
                <c:pt idx="283">
                  <c:v>1.1972222222222531</c:v>
                </c:pt>
                <c:pt idx="284">
                  <c:v>1.1979166666666976</c:v>
                </c:pt>
                <c:pt idx="285">
                  <c:v>1.1986111111111422</c:v>
                </c:pt>
                <c:pt idx="286">
                  <c:v>1.1993055555555867</c:v>
                </c:pt>
                <c:pt idx="287">
                  <c:v>1.2000000000000313</c:v>
                </c:pt>
                <c:pt idx="288">
                  <c:v>1.2006944444444758</c:v>
                </c:pt>
                <c:pt idx="289">
                  <c:v>1.2013888888889204</c:v>
                </c:pt>
                <c:pt idx="290">
                  <c:v>1.2020833333333649</c:v>
                </c:pt>
                <c:pt idx="291">
                  <c:v>1.2027777777778095</c:v>
                </c:pt>
                <c:pt idx="292">
                  <c:v>1.203472222222254</c:v>
                </c:pt>
                <c:pt idx="293">
                  <c:v>1.2041666666666986</c:v>
                </c:pt>
                <c:pt idx="294">
                  <c:v>1.2048611111111431</c:v>
                </c:pt>
                <c:pt idx="295">
                  <c:v>1.2055555555555877</c:v>
                </c:pt>
                <c:pt idx="296">
                  <c:v>1.2062500000000322</c:v>
                </c:pt>
                <c:pt idx="297">
                  <c:v>1.2069444444444768</c:v>
                </c:pt>
                <c:pt idx="298">
                  <c:v>1.2076388888889213</c:v>
                </c:pt>
                <c:pt idx="299">
                  <c:v>1.2083333333333659</c:v>
                </c:pt>
                <c:pt idx="300">
                  <c:v>1.2090277777778105</c:v>
                </c:pt>
                <c:pt idx="301">
                  <c:v>1.209722222222255</c:v>
                </c:pt>
                <c:pt idx="302">
                  <c:v>1.2104166666666996</c:v>
                </c:pt>
                <c:pt idx="303">
                  <c:v>1.2111111111111441</c:v>
                </c:pt>
                <c:pt idx="304">
                  <c:v>1.2118055555555887</c:v>
                </c:pt>
                <c:pt idx="305">
                  <c:v>1.2125000000000332</c:v>
                </c:pt>
                <c:pt idx="306">
                  <c:v>1.2131944444444778</c:v>
                </c:pt>
                <c:pt idx="307">
                  <c:v>1.2138888888889223</c:v>
                </c:pt>
                <c:pt idx="308">
                  <c:v>1.2145833333333669</c:v>
                </c:pt>
                <c:pt idx="309">
                  <c:v>1.2152777777778114</c:v>
                </c:pt>
                <c:pt idx="310">
                  <c:v>1.215972222222256</c:v>
                </c:pt>
                <c:pt idx="311">
                  <c:v>1.2166666666667005</c:v>
                </c:pt>
                <c:pt idx="312">
                  <c:v>1.2173611111111451</c:v>
                </c:pt>
                <c:pt idx="313">
                  <c:v>1.2180555555555896</c:v>
                </c:pt>
                <c:pt idx="314">
                  <c:v>1.2187500000000342</c:v>
                </c:pt>
                <c:pt idx="315">
                  <c:v>1.2194444444444787</c:v>
                </c:pt>
                <c:pt idx="316">
                  <c:v>1.2201388888889233</c:v>
                </c:pt>
                <c:pt idx="317">
                  <c:v>1.2208333333333679</c:v>
                </c:pt>
                <c:pt idx="318">
                  <c:v>1.2215277777778124</c:v>
                </c:pt>
                <c:pt idx="319">
                  <c:v>1.222222222222257</c:v>
                </c:pt>
                <c:pt idx="320">
                  <c:v>1.2229166666667015</c:v>
                </c:pt>
                <c:pt idx="321">
                  <c:v>1.2236111111111461</c:v>
                </c:pt>
                <c:pt idx="322">
                  <c:v>1.2243055555555906</c:v>
                </c:pt>
                <c:pt idx="323">
                  <c:v>1.2250000000000352</c:v>
                </c:pt>
                <c:pt idx="324">
                  <c:v>1.2256944444444797</c:v>
                </c:pt>
                <c:pt idx="325">
                  <c:v>1.2263888888889243</c:v>
                </c:pt>
                <c:pt idx="326">
                  <c:v>1.2270833333333688</c:v>
                </c:pt>
                <c:pt idx="327">
                  <c:v>1.2277777777778134</c:v>
                </c:pt>
                <c:pt idx="328">
                  <c:v>1.2284722222222579</c:v>
                </c:pt>
                <c:pt idx="329">
                  <c:v>1.2291666666667025</c:v>
                </c:pt>
                <c:pt idx="330">
                  <c:v>1.229861111111147</c:v>
                </c:pt>
                <c:pt idx="331">
                  <c:v>1.2305555555555916</c:v>
                </c:pt>
                <c:pt idx="332">
                  <c:v>1.2312500000000361</c:v>
                </c:pt>
                <c:pt idx="333">
                  <c:v>1.2319444444444807</c:v>
                </c:pt>
                <c:pt idx="334">
                  <c:v>1.2326388888889253</c:v>
                </c:pt>
                <c:pt idx="335">
                  <c:v>1.2333333333333698</c:v>
                </c:pt>
                <c:pt idx="336">
                  <c:v>1.2340277777778144</c:v>
                </c:pt>
                <c:pt idx="337">
                  <c:v>1.2347222222222589</c:v>
                </c:pt>
                <c:pt idx="338">
                  <c:v>1.2354166666667035</c:v>
                </c:pt>
                <c:pt idx="339">
                  <c:v>1.236111111111148</c:v>
                </c:pt>
                <c:pt idx="340">
                  <c:v>1.2368055555555926</c:v>
                </c:pt>
                <c:pt idx="341">
                  <c:v>1.2375000000000371</c:v>
                </c:pt>
                <c:pt idx="342">
                  <c:v>1.2381944444444817</c:v>
                </c:pt>
                <c:pt idx="343">
                  <c:v>1.2388888888889262</c:v>
                </c:pt>
                <c:pt idx="344">
                  <c:v>1.2395833333333708</c:v>
                </c:pt>
                <c:pt idx="345">
                  <c:v>1.2402777777778153</c:v>
                </c:pt>
                <c:pt idx="346">
                  <c:v>1.2409722222222599</c:v>
                </c:pt>
                <c:pt idx="347">
                  <c:v>1.2416666666667044</c:v>
                </c:pt>
                <c:pt idx="348">
                  <c:v>1.242361111111149</c:v>
                </c:pt>
                <c:pt idx="349">
                  <c:v>1.2430555555555935</c:v>
                </c:pt>
                <c:pt idx="350">
                  <c:v>1.2437500000000381</c:v>
                </c:pt>
                <c:pt idx="351">
                  <c:v>1.2444444444444827</c:v>
                </c:pt>
                <c:pt idx="352">
                  <c:v>1.2451388888889272</c:v>
                </c:pt>
                <c:pt idx="353">
                  <c:v>1.2458333333333718</c:v>
                </c:pt>
                <c:pt idx="354">
                  <c:v>1.2465277777778163</c:v>
                </c:pt>
                <c:pt idx="355">
                  <c:v>1.2472222222222609</c:v>
                </c:pt>
                <c:pt idx="356">
                  <c:v>1.2479166666667054</c:v>
                </c:pt>
                <c:pt idx="357">
                  <c:v>1.24861111111115</c:v>
                </c:pt>
                <c:pt idx="358">
                  <c:v>1.2493055555555945</c:v>
                </c:pt>
                <c:pt idx="359">
                  <c:v>1.2500000000000391</c:v>
                </c:pt>
                <c:pt idx="360">
                  <c:v>1.2506944444444836</c:v>
                </c:pt>
                <c:pt idx="361">
                  <c:v>1.2513888888889282</c:v>
                </c:pt>
                <c:pt idx="362">
                  <c:v>1.2520833333333727</c:v>
                </c:pt>
                <c:pt idx="363">
                  <c:v>1.2527777777778173</c:v>
                </c:pt>
                <c:pt idx="364">
                  <c:v>1.2534722222222618</c:v>
                </c:pt>
                <c:pt idx="365">
                  <c:v>1.2541666666667064</c:v>
                </c:pt>
                <c:pt idx="366">
                  <c:v>1.254861111111151</c:v>
                </c:pt>
                <c:pt idx="367">
                  <c:v>1.2555555555555955</c:v>
                </c:pt>
                <c:pt idx="368">
                  <c:v>1.2562500000000401</c:v>
                </c:pt>
                <c:pt idx="369">
                  <c:v>1.2569444444444846</c:v>
                </c:pt>
                <c:pt idx="370">
                  <c:v>1.2576388888889292</c:v>
                </c:pt>
                <c:pt idx="371">
                  <c:v>1.2583333333333737</c:v>
                </c:pt>
                <c:pt idx="372">
                  <c:v>1.2590277777778183</c:v>
                </c:pt>
                <c:pt idx="373">
                  <c:v>1.2597222222222628</c:v>
                </c:pt>
                <c:pt idx="374">
                  <c:v>1.2604166666667074</c:v>
                </c:pt>
                <c:pt idx="375">
                  <c:v>1.2611111111111519</c:v>
                </c:pt>
                <c:pt idx="376">
                  <c:v>1.2618055555555965</c:v>
                </c:pt>
                <c:pt idx="377">
                  <c:v>1.262500000000041</c:v>
                </c:pt>
                <c:pt idx="378">
                  <c:v>1.2631944444444856</c:v>
                </c:pt>
                <c:pt idx="379">
                  <c:v>1.2638888888889301</c:v>
                </c:pt>
                <c:pt idx="380">
                  <c:v>1.2645833333333747</c:v>
                </c:pt>
                <c:pt idx="381">
                  <c:v>1.2652777777778192</c:v>
                </c:pt>
                <c:pt idx="382">
                  <c:v>1.2659722222222638</c:v>
                </c:pt>
                <c:pt idx="383">
                  <c:v>1.2666666666667084</c:v>
                </c:pt>
                <c:pt idx="384">
                  <c:v>1.2673611111111529</c:v>
                </c:pt>
                <c:pt idx="385">
                  <c:v>1.2680555555555975</c:v>
                </c:pt>
                <c:pt idx="386">
                  <c:v>1.268750000000042</c:v>
                </c:pt>
                <c:pt idx="387">
                  <c:v>1.2694444444444866</c:v>
                </c:pt>
                <c:pt idx="388">
                  <c:v>1.2701388888889311</c:v>
                </c:pt>
                <c:pt idx="389">
                  <c:v>1.2708333333333757</c:v>
                </c:pt>
                <c:pt idx="390">
                  <c:v>1.2715277777778202</c:v>
                </c:pt>
                <c:pt idx="391">
                  <c:v>1.2722222222222648</c:v>
                </c:pt>
                <c:pt idx="392">
                  <c:v>1.2729166666667093</c:v>
                </c:pt>
                <c:pt idx="393">
                  <c:v>1.2736111111111539</c:v>
                </c:pt>
                <c:pt idx="394">
                  <c:v>1.2743055555555984</c:v>
                </c:pt>
                <c:pt idx="395">
                  <c:v>1.275000000000043</c:v>
                </c:pt>
                <c:pt idx="396">
                  <c:v>1.2756944444444875</c:v>
                </c:pt>
                <c:pt idx="397">
                  <c:v>1.2763888888889321</c:v>
                </c:pt>
                <c:pt idx="398">
                  <c:v>1.2770833333333766</c:v>
                </c:pt>
                <c:pt idx="399">
                  <c:v>1.2777777777778212</c:v>
                </c:pt>
                <c:pt idx="400">
                  <c:v>1.2784722222222658</c:v>
                </c:pt>
                <c:pt idx="401">
                  <c:v>1.2791666666667103</c:v>
                </c:pt>
                <c:pt idx="402">
                  <c:v>1.2798611111111549</c:v>
                </c:pt>
                <c:pt idx="403">
                  <c:v>1.2805555555555994</c:v>
                </c:pt>
                <c:pt idx="404">
                  <c:v>1.281250000000044</c:v>
                </c:pt>
                <c:pt idx="405">
                  <c:v>1.2819444444444885</c:v>
                </c:pt>
                <c:pt idx="406">
                  <c:v>1.2826388888889331</c:v>
                </c:pt>
                <c:pt idx="407">
                  <c:v>1.2833333333333776</c:v>
                </c:pt>
                <c:pt idx="408">
                  <c:v>1.2840277777778222</c:v>
                </c:pt>
                <c:pt idx="409">
                  <c:v>1.2847222222222667</c:v>
                </c:pt>
                <c:pt idx="410">
                  <c:v>1.2854166666667113</c:v>
                </c:pt>
                <c:pt idx="411">
                  <c:v>1.2861111111111558</c:v>
                </c:pt>
                <c:pt idx="412">
                  <c:v>1.2868055555556004</c:v>
                </c:pt>
                <c:pt idx="413">
                  <c:v>1.2875000000000449</c:v>
                </c:pt>
                <c:pt idx="414">
                  <c:v>1.2881944444444895</c:v>
                </c:pt>
                <c:pt idx="415">
                  <c:v>1.288888888888934</c:v>
                </c:pt>
                <c:pt idx="416">
                  <c:v>1.2895833333333786</c:v>
                </c:pt>
                <c:pt idx="417">
                  <c:v>1.2902777777778232</c:v>
                </c:pt>
                <c:pt idx="418">
                  <c:v>1.2909722222222677</c:v>
                </c:pt>
                <c:pt idx="419">
                  <c:v>1.2916666666667123</c:v>
                </c:pt>
                <c:pt idx="420">
                  <c:v>1.2923611111111568</c:v>
                </c:pt>
                <c:pt idx="421">
                  <c:v>1.2930555555556014</c:v>
                </c:pt>
                <c:pt idx="422">
                  <c:v>1.2937500000000459</c:v>
                </c:pt>
                <c:pt idx="423">
                  <c:v>1.2944444444444905</c:v>
                </c:pt>
                <c:pt idx="424">
                  <c:v>1.295138888888935</c:v>
                </c:pt>
                <c:pt idx="425">
                  <c:v>1.2958333333333796</c:v>
                </c:pt>
                <c:pt idx="426">
                  <c:v>1.2965277777778241</c:v>
                </c:pt>
                <c:pt idx="427">
                  <c:v>1.2972222222222687</c:v>
                </c:pt>
                <c:pt idx="428">
                  <c:v>1.2979166666667132</c:v>
                </c:pt>
                <c:pt idx="429">
                  <c:v>1.2986111111111578</c:v>
                </c:pt>
                <c:pt idx="430">
                  <c:v>1.2993055555556023</c:v>
                </c:pt>
                <c:pt idx="431">
                  <c:v>1.3000000000000469</c:v>
                </c:pt>
                <c:pt idx="432">
                  <c:v>1.3006944444444914</c:v>
                </c:pt>
                <c:pt idx="433">
                  <c:v>1.301388888888936</c:v>
                </c:pt>
                <c:pt idx="434">
                  <c:v>1.3020833333333806</c:v>
                </c:pt>
                <c:pt idx="435">
                  <c:v>1.3027777777778251</c:v>
                </c:pt>
                <c:pt idx="436">
                  <c:v>1.3034722222222697</c:v>
                </c:pt>
                <c:pt idx="437">
                  <c:v>1.3041666666667142</c:v>
                </c:pt>
                <c:pt idx="438">
                  <c:v>1.3048611111111588</c:v>
                </c:pt>
                <c:pt idx="439">
                  <c:v>1.3055555555556033</c:v>
                </c:pt>
                <c:pt idx="440">
                  <c:v>1.3062500000000479</c:v>
                </c:pt>
                <c:pt idx="441">
                  <c:v>1.3069444444444924</c:v>
                </c:pt>
                <c:pt idx="442">
                  <c:v>1.307638888888937</c:v>
                </c:pt>
                <c:pt idx="443">
                  <c:v>1.3083333333333815</c:v>
                </c:pt>
                <c:pt idx="444">
                  <c:v>1.3090277777778261</c:v>
                </c:pt>
                <c:pt idx="445">
                  <c:v>1.3097222222222706</c:v>
                </c:pt>
                <c:pt idx="446">
                  <c:v>1.3104166666667152</c:v>
                </c:pt>
                <c:pt idx="447">
                  <c:v>1.3111111111111597</c:v>
                </c:pt>
                <c:pt idx="448">
                  <c:v>1.3118055555556043</c:v>
                </c:pt>
                <c:pt idx="449">
                  <c:v>1.3125000000000488</c:v>
                </c:pt>
                <c:pt idx="450">
                  <c:v>1.3131944444444934</c:v>
                </c:pt>
                <c:pt idx="451">
                  <c:v>1.313888888888938</c:v>
                </c:pt>
                <c:pt idx="452">
                  <c:v>1.3145833333333825</c:v>
                </c:pt>
                <c:pt idx="453">
                  <c:v>1.3152777777778271</c:v>
                </c:pt>
                <c:pt idx="454">
                  <c:v>1.3159722222222716</c:v>
                </c:pt>
                <c:pt idx="455">
                  <c:v>1.3166666666667162</c:v>
                </c:pt>
                <c:pt idx="456">
                  <c:v>1.3173611111111607</c:v>
                </c:pt>
                <c:pt idx="457">
                  <c:v>1.3180555555556053</c:v>
                </c:pt>
                <c:pt idx="458">
                  <c:v>1.3187500000000498</c:v>
                </c:pt>
                <c:pt idx="459">
                  <c:v>1.3194444444444944</c:v>
                </c:pt>
                <c:pt idx="460">
                  <c:v>1.3201388888889389</c:v>
                </c:pt>
                <c:pt idx="461">
                  <c:v>1.3208333333333835</c:v>
                </c:pt>
                <c:pt idx="462">
                  <c:v>1.321527777777828</c:v>
                </c:pt>
                <c:pt idx="463">
                  <c:v>1.3222222222222726</c:v>
                </c:pt>
                <c:pt idx="464">
                  <c:v>1.3229166666667171</c:v>
                </c:pt>
                <c:pt idx="465">
                  <c:v>1.3236111111111617</c:v>
                </c:pt>
                <c:pt idx="466">
                  <c:v>1.3243055555556063</c:v>
                </c:pt>
                <c:pt idx="467">
                  <c:v>1.3250000000000508</c:v>
                </c:pt>
                <c:pt idx="468">
                  <c:v>1.3256944444444954</c:v>
                </c:pt>
                <c:pt idx="469">
                  <c:v>1.3263888888889399</c:v>
                </c:pt>
                <c:pt idx="470">
                  <c:v>1.3270833333333845</c:v>
                </c:pt>
                <c:pt idx="471">
                  <c:v>1.327777777777829</c:v>
                </c:pt>
                <c:pt idx="472">
                  <c:v>1.3284722222222736</c:v>
                </c:pt>
                <c:pt idx="473">
                  <c:v>1.3291666666667181</c:v>
                </c:pt>
                <c:pt idx="474">
                  <c:v>1.3298611111111627</c:v>
                </c:pt>
                <c:pt idx="475">
                  <c:v>1.3305555555556072</c:v>
                </c:pt>
                <c:pt idx="476">
                  <c:v>1.3312500000000518</c:v>
                </c:pt>
                <c:pt idx="477">
                  <c:v>1.3319444444444963</c:v>
                </c:pt>
                <c:pt idx="478">
                  <c:v>1.3326388888889409</c:v>
                </c:pt>
                <c:pt idx="479">
                  <c:v>1.3333333333333854</c:v>
                </c:pt>
              </c:numCache>
            </c:numRef>
          </c:cat>
          <c:val>
            <c:numRef>
              <c:f>'Uurlijkse calc'!$Y$3:$Y$482</c:f>
              <c:numCache>
                <c:formatCode>0.000</c:formatCode>
                <c:ptCount val="480"/>
                <c:pt idx="0">
                  <c:v>2.1220045557359306</c:v>
                </c:pt>
                <c:pt idx="1">
                  <c:v>2.1034412756565737</c:v>
                </c:pt>
                <c:pt idx="2">
                  <c:v>2.0850527663487446</c:v>
                </c:pt>
                <c:pt idx="3">
                  <c:v>2.0668371751644159</c:v>
                </c:pt>
                <c:pt idx="4">
                  <c:v>2.0487926725289367</c:v>
                </c:pt>
                <c:pt idx="5">
                  <c:v>2.0309174515978241</c:v>
                </c:pt>
                <c:pt idx="6">
                  <c:v>2.0132097279195666</c:v>
                </c:pt>
                <c:pt idx="7">
                  <c:v>1.9956677391043054</c:v>
                </c:pt>
                <c:pt idx="8">
                  <c:v>1.9782897444982979</c:v>
                </c:pt>
                <c:pt idx="9">
                  <c:v>1.9610740248640273</c:v>
                </c:pt>
                <c:pt idx="10">
                  <c:v>1.9440188820658582</c:v>
                </c:pt>
                <c:pt idx="11">
                  <c:v>1.9271226387611295</c:v>
                </c:pt>
                <c:pt idx="12">
                  <c:v>1.9103836380965582</c:v>
                </c:pt>
                <c:pt idx="13">
                  <c:v>1.8938002434098813</c:v>
                </c:pt>
                <c:pt idx="14">
                  <c:v>1.8773708379365974</c:v>
                </c:pt>
                <c:pt idx="15">
                  <c:v>1.8610938245217328</c:v>
                </c:pt>
                <c:pt idx="16">
                  <c:v>1.8449676253365239</c:v>
                </c:pt>
                <c:pt idx="17">
                  <c:v>1.8289906815999182</c:v>
                </c:pt>
                <c:pt idx="18">
                  <c:v>1.8131614533048053</c:v>
                </c:pt>
                <c:pt idx="19">
                  <c:v>1.7974784189488786</c:v>
                </c:pt>
                <c:pt idx="20">
                  <c:v>1.7819400752700494</c:v>
                </c:pt>
                <c:pt idx="21">
                  <c:v>1.7665449369863038</c:v>
                </c:pt>
                <c:pt idx="22">
                  <c:v>1.7512915365399444</c:v>
                </c:pt>
                <c:pt idx="23">
                  <c:v>1.7361784238461104</c:v>
                </c:pt>
                <c:pt idx="24">
                  <c:v>1.7212041660455046</c:v>
                </c:pt>
                <c:pt idx="25">
                  <c:v>1.7063673472612377</c:v>
                </c:pt>
                <c:pt idx="26">
                  <c:v>1.6916665683597243</c:v>
                </c:pt>
                <c:pt idx="27">
                  <c:v>1.6771004467155366</c:v>
                </c:pt>
                <c:pt idx="28">
                  <c:v>1.6626676159801612</c:v>
                </c:pt>
                <c:pt idx="29">
                  <c:v>1.6483667258545571</c:v>
                </c:pt>
                <c:pt idx="30">
                  <c:v>1.6341964418654715</c:v>
                </c:pt>
                <c:pt idx="31">
                  <c:v>1.6201554451454248</c:v>
                </c:pt>
                <c:pt idx="32">
                  <c:v>1.6062424322162989</c:v>
                </c:pt>
                <c:pt idx="33">
                  <c:v>1.5924561147764591</c:v>
                </c:pt>
                <c:pt idx="34">
                  <c:v>1.5787952194913561</c:v>
                </c:pt>
                <c:pt idx="35">
                  <c:v>1.56525848778752</c:v>
                </c:pt>
                <c:pt idx="36">
                  <c:v>1.5518446756499071</c:v>
                </c:pt>
                <c:pt idx="37">
                  <c:v>1.5385525534225157</c:v>
                </c:pt>
                <c:pt idx="38">
                  <c:v>1.5253809056122278</c:v>
                </c:pt>
                <c:pt idx="39">
                  <c:v>1.5123285306958061</c:v>
                </c:pt>
                <c:pt idx="40">
                  <c:v>1.7571615690907763</c:v>
                </c:pt>
                <c:pt idx="41">
                  <c:v>1.7419944859596155</c:v>
                </c:pt>
                <c:pt idx="42">
                  <c:v>1.726966808678595</c:v>
                </c:pt>
                <c:pt idx="43">
                  <c:v>1.7120771148453691</c:v>
                </c:pt>
                <c:pt idx="44">
                  <c:v>1.6973239988926987</c:v>
                </c:pt>
                <c:pt idx="45">
                  <c:v>1.6827060718517866</c:v>
                </c:pt>
                <c:pt idx="46">
                  <c:v>1.6682219611195368</c:v>
                </c:pt>
                <c:pt idx="47">
                  <c:v>1.6538703102296544</c:v>
                </c:pt>
                <c:pt idx="48">
                  <c:v>1.6396497786275239</c:v>
                </c:pt>
                <c:pt idx="49">
                  <c:v>1.6255590414487751</c:v>
                </c:pt>
                <c:pt idx="50">
                  <c:v>1.6115967893015033</c:v>
                </c:pt>
                <c:pt idx="51">
                  <c:v>1.597761728052022</c:v>
                </c:pt>
                <c:pt idx="52">
                  <c:v>1.5840525786141426</c:v>
                </c:pt>
                <c:pt idx="53">
                  <c:v>1.5704680767418555</c:v>
                </c:pt>
                <c:pt idx="54">
                  <c:v>1.5570069728253959</c:v>
                </c:pt>
                <c:pt idx="55">
                  <c:v>1.5436680316906064</c:v>
                </c:pt>
                <c:pt idx="56">
                  <c:v>1.530450032401536</c:v>
                </c:pt>
                <c:pt idx="57">
                  <c:v>1.5173517680662338</c:v>
                </c:pt>
                <c:pt idx="58">
                  <c:v>1.5043720456456435</c:v>
                </c:pt>
                <c:pt idx="59">
                  <c:v>1.4915096857655838</c:v>
                </c:pt>
                <c:pt idx="60">
                  <c:v>1.4787635225317257</c:v>
                </c:pt>
                <c:pt idx="61">
                  <c:v>1.4661324033475185</c:v>
                </c:pt>
                <c:pt idx="62">
                  <c:v>1.4536151887350228</c:v>
                </c:pt>
                <c:pt idx="63">
                  <c:v>1.4412107521585873</c:v>
                </c:pt>
                <c:pt idx="64">
                  <c:v>1.4289179798513081</c:v>
                </c:pt>
                <c:pt idx="65">
                  <c:v>1.4167357706442452</c:v>
                </c:pt>
                <c:pt idx="66">
                  <c:v>1.4046630357983194</c:v>
                </c:pt>
                <c:pt idx="67">
                  <c:v>1.392698698838861</c:v>
                </c:pt>
                <c:pt idx="68">
                  <c:v>1.3808416953927414</c:v>
                </c:pt>
                <c:pt idx="69">
                  <c:v>1.3690909730280727</c:v>
                </c:pt>
                <c:pt idx="70">
                  <c:v>1.3574454910963885</c:v>
                </c:pt>
                <c:pt idx="71">
                  <c:v>1.3459042205772942</c:v>
                </c:pt>
                <c:pt idx="72">
                  <c:v>1.3344661439255368</c:v>
                </c:pt>
                <c:pt idx="73">
                  <c:v>1.3231302549204225</c:v>
                </c:pt>
                <c:pt idx="74">
                  <c:v>1.3118955585175855</c:v>
                </c:pt>
                <c:pt idx="75">
                  <c:v>1.3007610707030359</c:v>
                </c:pt>
                <c:pt idx="76">
                  <c:v>1.2897258183494387</c:v>
                </c:pt>
                <c:pt idx="77">
                  <c:v>1.2787888390746263</c:v>
                </c:pt>
                <c:pt idx="78">
                  <c:v>1.267949181102247</c:v>
                </c:pt>
                <c:pt idx="79">
                  <c:v>1.2572059031245721</c:v>
                </c:pt>
                <c:pt idx="80">
                  <c:v>1.5018422546464061</c:v>
                </c:pt>
                <c:pt idx="81">
                  <c:v>1.4890027567582476</c:v>
                </c:pt>
                <c:pt idx="82">
                  <c:v>1.4762792286049089</c:v>
                </c:pt>
                <c:pt idx="83">
                  <c:v>1.4636705201746634</c:v>
                </c:pt>
                <c:pt idx="84">
                  <c:v>1.451175494539618</c:v>
                </c:pt>
                <c:pt idx="85">
                  <c:v>1.438793027679943</c:v>
                </c:pt>
                <c:pt idx="86">
                  <c:v>1.4265220083108756</c:v>
                </c:pt>
                <c:pt idx="87">
                  <c:v>1.4143613377124598</c:v>
                </c:pt>
                <c:pt idx="88">
                  <c:v>1.4023099295619748</c:v>
                </c:pt>
                <c:pt idx="89">
                  <c:v>1.390366709768986</c:v>
                </c:pt>
                <c:pt idx="90">
                  <c:v>1.3785306163129916</c:v>
                </c:pt>
                <c:pt idx="91">
                  <c:v>1.3668005990836023</c:v>
                </c:pt>
                <c:pt idx="92">
                  <c:v>1.3551756197232199</c:v>
                </c:pt>
                <c:pt idx="93">
                  <c:v>1.3436546514721586</c:v>
                </c:pt>
                <c:pt idx="94">
                  <c:v>1.332236679016177</c:v>
                </c:pt>
                <c:pt idx="95">
                  <c:v>1.3209206983363659</c:v>
                </c:pt>
                <c:pt idx="96">
                  <c:v>1.3097057165613646</c:v>
                </c:pt>
                <c:pt idx="97">
                  <c:v>1.298590751821844</c:v>
                </c:pt>
                <c:pt idx="98">
                  <c:v>1.2875748331072328</c:v>
                </c:pt>
                <c:pt idx="99">
                  <c:v>1.2766570001246507</c:v>
                </c:pt>
                <c:pt idx="100">
                  <c:v>1.2658363031599806</c:v>
                </c:pt>
                <c:pt idx="101">
                  <c:v>1.2551118029410824</c:v>
                </c:pt>
                <c:pt idx="102">
                  <c:v>1.2444825705030771</c:v>
                </c:pt>
                <c:pt idx="103">
                  <c:v>1.2339476870556827</c:v>
                </c:pt>
                <c:pt idx="104">
                  <c:v>1.2235062438525635</c:v>
                </c:pt>
                <c:pt idx="105">
                  <c:v>1.2131573420626456</c:v>
                </c:pt>
                <c:pt idx="106">
                  <c:v>1.202900092643393</c:v>
                </c:pt>
                <c:pt idx="107">
                  <c:v>1.1927336162159639</c:v>
                </c:pt>
                <c:pt idx="108">
                  <c:v>1.1826570429422716</c:v>
                </c:pt>
                <c:pt idx="109">
                  <c:v>1.1726695124038606</c:v>
                </c:pt>
                <c:pt idx="110">
                  <c:v>1.1627701734826137</c:v>
                </c:pt>
                <c:pt idx="111">
                  <c:v>1.1529581842432226</c:v>
                </c:pt>
                <c:pt idx="112">
                  <c:v>1.1432327118174139</c:v>
                </c:pt>
                <c:pt idx="113">
                  <c:v>1.1335929322898968</c:v>
                </c:pt>
                <c:pt idx="114">
                  <c:v>1.1240380305859907</c:v>
                </c:pt>
                <c:pt idx="115">
                  <c:v>1.1145672003609179</c:v>
                </c:pt>
                <c:pt idx="116">
                  <c:v>1.1051796438907262</c:v>
                </c:pt>
                <c:pt idx="117">
                  <c:v>1.0958745719648171</c:v>
                </c:pt>
                <c:pt idx="118">
                  <c:v>1.0866512037800491</c:v>
                </c:pt>
                <c:pt idx="119">
                  <c:v>1.0775087668363887</c:v>
                </c:pt>
                <c:pt idx="120">
                  <c:v>1.3219667389931395</c:v>
                </c:pt>
                <c:pt idx="121">
                  <c:v>1.3107424243743604</c:v>
                </c:pt>
                <c:pt idx="122">
                  <c:v>1.2996182174652371</c:v>
                </c:pt>
                <c:pt idx="123">
                  <c:v>1.2885931462533047</c:v>
                </c:pt>
                <c:pt idx="124">
                  <c:v>1.2776662494567843</c:v>
                </c:pt>
                <c:pt idx="125">
                  <c:v>1.2668365763854679</c:v>
                </c:pt>
                <c:pt idx="126">
                  <c:v>1.2561031868037331</c:v>
                </c:pt>
                <c:pt idx="127">
                  <c:v>1.245465150795636</c:v>
                </c:pt>
                <c:pt idx="128">
                  <c:v>1.2349215486320555</c:v>
                </c:pt>
                <c:pt idx="129">
                  <c:v>1.2244714706398616</c:v>
                </c:pt>
                <c:pt idx="130">
                  <c:v>1.2141140170730484</c:v>
                </c:pt>
                <c:pt idx="131">
                  <c:v>1.2038482979858252</c:v>
                </c:pt>
                <c:pt idx="132">
                  <c:v>1.1936734331076095</c:v>
                </c:pt>
                <c:pt idx="133">
                  <c:v>1.1835885517199005</c:v>
                </c:pt>
                <c:pt idx="134">
                  <c:v>1.1735927925350007</c:v>
                </c:pt>
                <c:pt idx="135">
                  <c:v>1.1636853035765407</c:v>
                </c:pt>
                <c:pt idx="136">
                  <c:v>1.153865242061801</c:v>
                </c:pt>
                <c:pt idx="137">
                  <c:v>1.1441317742857668</c:v>
                </c:pt>
                <c:pt idx="138">
                  <c:v>1.1344840755069197</c:v>
                </c:pt>
                <c:pt idx="139">
                  <c:v>1.1249213298347123</c:v>
                </c:pt>
                <c:pt idx="140">
                  <c:v>1.1154427301187064</c:v>
                </c:pt>
                <c:pt idx="141">
                  <c:v>1.1060474778393456</c:v>
                </c:pt>
                <c:pt idx="142">
                  <c:v>1.096734783000336</c:v>
                </c:pt>
                <c:pt idx="143">
                  <c:v>1.0875038640226022</c:v>
                </c:pt>
                <c:pt idx="144">
                  <c:v>1.0783539476397996</c:v>
                </c:pt>
                <c:pt idx="145">
                  <c:v>1.0692842687953468</c:v>
                </c:pt>
                <c:pt idx="146">
                  <c:v>1.0602940705409667</c:v>
                </c:pt>
                <c:pt idx="147">
                  <c:v>1.051382603936694</c:v>
                </c:pt>
                <c:pt idx="148">
                  <c:v>1.0425491279523342</c:v>
                </c:pt>
                <c:pt idx="149">
                  <c:v>1.0337929093703571</c:v>
                </c:pt>
                <c:pt idx="150">
                  <c:v>1.0251132226901787</c:v>
                </c:pt>
                <c:pt idx="151">
                  <c:v>1.0165093500338285</c:v>
                </c:pt>
                <c:pt idx="152">
                  <c:v>1.0079805810529749</c:v>
                </c:pt>
                <c:pt idx="153">
                  <c:v>0.99952621283727872</c:v>
                </c:pt>
                <c:pt idx="154">
                  <c:v>0.99114554982405589</c:v>
                </c:pt>
                <c:pt idx="155">
                  <c:v>0.98283790370924129</c:v>
                </c:pt>
                <c:pt idx="156">
                  <c:v>0.97460259335959976</c:v>
                </c:pt>
                <c:pt idx="157">
                  <c:v>0.96643894472620284</c:v>
                </c:pt>
                <c:pt idx="158">
                  <c:v>0.95834629075912559</c:v>
                </c:pt>
                <c:pt idx="159">
                  <c:v>0.95032397132334212</c:v>
                </c:pt>
                <c:pt idx="160">
                  <c:v>1.1946354901424034</c:v>
                </c:pt>
                <c:pt idx="161">
                  <c:v>1.1845421034481003</c:v>
                </c:pt>
                <c:pt idx="162">
                  <c:v>1.174537920319852</c:v>
                </c:pt>
                <c:pt idx="163">
                  <c:v>1.1646220879024145</c:v>
                </c:pt>
                <c:pt idx="164">
                  <c:v>1.1547937625452898</c:v>
                </c:pt>
                <c:pt idx="165">
                  <c:v>1.1450521096866182</c:v>
                </c:pt>
                <c:pt idx="166">
                  <c:v>1.1353963037388048</c:v>
                </c:pt>
                <c:pt idx="167">
                  <c:v>1.1258255279758382</c:v>
                </c:pt>
                <c:pt idx="168">
                  <c:v>1.1163389744222636</c:v>
                </c:pt>
                <c:pt idx="169">
                  <c:v>1.1069358437438177</c:v>
                </c:pt>
                <c:pt idx="170">
                  <c:v>1.0976153451396389</c:v>
                </c:pt>
                <c:pt idx="171">
                  <c:v>1.088376696236091</c:v>
                </c:pt>
                <c:pt idx="172">
                  <c:v>1.0792191229821162</c:v>
                </c:pt>
                <c:pt idx="173">
                  <c:v>1.0701418595461363</c:v>
                </c:pt>
                <c:pt idx="174">
                  <c:v>1.0611441482144399</c:v>
                </c:pt>
                <c:pt idx="175">
                  <c:v>1.0522252392910627</c:v>
                </c:pt>
                <c:pt idx="176">
                  <c:v>1.0433843909990987</c:v>
                </c:pt>
                <c:pt idx="177">
                  <c:v>1.0346208693834686</c:v>
                </c:pt>
                <c:pt idx="178">
                  <c:v>1.0259339482150642</c:v>
                </c:pt>
                <c:pt idx="179">
                  <c:v>1.0173229088962898</c:v>
                </c:pt>
                <c:pt idx="180">
                  <c:v>1.0087870403679546</c:v>
                </c:pt>
                <c:pt idx="181">
                  <c:v>1.0003256390175053</c:v>
                </c:pt>
                <c:pt idx="182">
                  <c:v>0.99193800858856762</c:v>
                </c:pt>
                <c:pt idx="183">
                  <c:v>0.98362346009177526</c:v>
                </c:pt>
                <c:pt idx="184">
                  <c:v>0.97538131171688069</c:v>
                </c:pt>
                <c:pt idx="185">
                  <c:v>0.96721088874609962</c:v>
                </c:pt>
                <c:pt idx="186">
                  <c:v>0.95911152346869755</c:v>
                </c:pt>
                <c:pt idx="187">
                  <c:v>0.95108255509677475</c:v>
                </c:pt>
                <c:pt idx="188">
                  <c:v>0.94312332968224311</c:v>
                </c:pt>
                <c:pt idx="189">
                  <c:v>0.9352332000349729</c:v>
                </c:pt>
                <c:pt idx="190">
                  <c:v>0.92741152564208762</c:v>
                </c:pt>
                <c:pt idx="191">
                  <c:v>0.91965767258839259</c:v>
                </c:pt>
                <c:pt idx="192">
                  <c:v>0.91197101347790777</c:v>
                </c:pt>
                <c:pt idx="193">
                  <c:v>0.90435092735651312</c:v>
                </c:pt>
                <c:pt idx="194">
                  <c:v>0.89679679963564674</c:v>
                </c:pt>
                <c:pt idx="195">
                  <c:v>0.88930802201708803</c:v>
                </c:pt>
                <c:pt idx="196">
                  <c:v>0.88188399241876114</c:v>
                </c:pt>
                <c:pt idx="197">
                  <c:v>0.87452411490157922</c:v>
                </c:pt>
                <c:pt idx="198">
                  <c:v>0.86722779959729146</c:v>
                </c:pt>
                <c:pt idx="199">
                  <c:v>0.85999446263732438</c:v>
                </c:pt>
                <c:pt idx="200">
                  <c:v>1.1041916881395366</c:v>
                </c:pt>
                <c:pt idx="201">
                  <c:v>1.0948952936664473</c:v>
                </c:pt>
                <c:pt idx="202">
                  <c:v>1.0856805208470146</c:v>
                </c:pt>
                <c:pt idx="203">
                  <c:v>1.07654659805327</c:v>
                </c:pt>
                <c:pt idx="204">
                  <c:v>1.0674927618467462</c:v>
                </c:pt>
                <c:pt idx="205">
                  <c:v>1.0585182568773068</c:v>
                </c:pt>
                <c:pt idx="206">
                  <c:v>1.049622335783444</c:v>
                </c:pt>
                <c:pt idx="207">
                  <c:v>1.0408042590940283</c:v>
                </c:pt>
                <c:pt idx="208">
                  <c:v>1.0320632951314721</c:v>
                </c:pt>
                <c:pt idx="209">
                  <c:v>1.0233987199162968</c:v>
                </c:pt>
                <c:pt idx="210">
                  <c:v>1.0148098170730688</c:v>
                </c:pt>
                <c:pt idx="211">
                  <c:v>1.0062958777376858</c:v>
                </c:pt>
                <c:pt idx="212">
                  <c:v>0.99785620046599943</c:v>
                </c:pt>
                <c:pt idx="213">
                  <c:v>0.98949009114373243</c:v>
                </c:pt>
                <c:pt idx="214">
                  <c:v>0.98119686289769381</c:v>
                </c:pt>
                <c:pt idx="215">
                  <c:v>0.97297583600824256</c:v>
                </c:pt>
                <c:pt idx="216">
                  <c:v>0.96482633782301053</c:v>
                </c:pt>
                <c:pt idx="217">
                  <c:v>0.95674770267183484</c:v>
                </c:pt>
                <c:pt idx="218">
                  <c:v>0.94873927178289741</c:v>
                </c:pt>
                <c:pt idx="219">
                  <c:v>0.94080039320004716</c:v>
                </c:pt>
                <c:pt idx="220">
                  <c:v>0.93293042170128437</c:v>
                </c:pt>
                <c:pt idx="221">
                  <c:v>0.92512871871839619</c:v>
                </c:pt>
                <c:pt idx="222">
                  <c:v>0.91739465225769812</c:v>
                </c:pt>
                <c:pt idx="223">
                  <c:v>0.9097275968219114</c:v>
                </c:pt>
                <c:pt idx="224">
                  <c:v>0.90212693333310801</c:v>
                </c:pt>
                <c:pt idx="225">
                  <c:v>0.89459204905673262</c:v>
                </c:pt>
                <c:pt idx="226">
                  <c:v>0.88712233752668657</c:v>
                </c:pt>
                <c:pt idx="227">
                  <c:v>0.87971719847143826</c:v>
                </c:pt>
                <c:pt idx="228">
                  <c:v>0.87237603774116435</c:v>
                </c:pt>
                <c:pt idx="229">
                  <c:v>0.86509826723589045</c:v>
                </c:pt>
                <c:pt idx="230">
                  <c:v>0.85788330483461928</c:v>
                </c:pt>
                <c:pt idx="231">
                  <c:v>0.85073057432544019</c:v>
                </c:pt>
                <c:pt idx="232">
                  <c:v>0.84363950533657839</c:v>
                </c:pt>
                <c:pt idx="233">
                  <c:v>0.83660953326840815</c:v>
                </c:pt>
                <c:pt idx="234">
                  <c:v>0.82964009922637594</c:v>
                </c:pt>
                <c:pt idx="235">
                  <c:v>0.82273064995484391</c:v>
                </c:pt>
                <c:pt idx="236">
                  <c:v>0.81588063777183262</c:v>
                </c:pt>
                <c:pt idx="237">
                  <c:v>0.80908952050464145</c:v>
                </c:pt>
                <c:pt idx="238">
                  <c:v>0.80235676142634282</c:v>
                </c:pt>
                <c:pt idx="239">
                  <c:v>0.79568182919313557</c:v>
                </c:pt>
                <c:pt idx="240">
                  <c:v>1.039792437193725</c:v>
                </c:pt>
                <c:pt idx="241">
                  <c:v>1.0310603182419922</c:v>
                </c:pt>
                <c:pt idx="242">
                  <c:v>1.022404505047787</c:v>
                </c:pt>
                <c:pt idx="243">
                  <c:v>1.013824282106496</c:v>
                </c:pt>
                <c:pt idx="244">
                  <c:v>1.0053189414142343</c:v>
                </c:pt>
                <c:pt idx="245">
                  <c:v>0.99688778237661169</c:v>
                </c:pt>
                <c:pt idx="246">
                  <c:v>0.98853011171881577</c:v>
                </c:pt>
                <c:pt idx="247">
                  <c:v>0.98024524339695218</c:v>
                </c:pt>
                <c:pt idx="248">
                  <c:v>0.9720324985106743</c:v>
                </c:pt>
                <c:pt idx="249">
                  <c:v>0.96389120521703231</c:v>
                </c:pt>
                <c:pt idx="250">
                  <c:v>0.95582069864555042</c:v>
                </c:pt>
                <c:pt idx="251">
                  <c:v>0.94782032081450562</c:v>
                </c:pt>
                <c:pt idx="252">
                  <c:v>0.93988942054838598</c:v>
                </c:pt>
                <c:pt idx="253">
                  <c:v>0.93202735339650367</c:v>
                </c:pt>
                <c:pt idx="254">
                  <c:v>0.9242334815527592</c:v>
                </c:pt>
                <c:pt idx="255">
                  <c:v>0.91650717377652513</c:v>
                </c:pt>
                <c:pt idx="256">
                  <c:v>0.9088478053146295</c:v>
                </c:pt>
                <c:pt idx="257">
                  <c:v>0.90125475782444175</c:v>
                </c:pt>
                <c:pt idx="258">
                  <c:v>0.89372741929801214</c:v>
                </c:pt>
                <c:pt idx="259">
                  <c:v>0.88626518398727205</c:v>
                </c:pt>
                <c:pt idx="260">
                  <c:v>0.87886745233026953</c:v>
                </c:pt>
                <c:pt idx="261">
                  <c:v>0.87153363087842362</c:v>
                </c:pt>
                <c:pt idx="262">
                  <c:v>0.86426313222477846</c:v>
                </c:pt>
                <c:pt idx="263">
                  <c:v>0.85705537493325079</c:v>
                </c:pt>
                <c:pt idx="264">
                  <c:v>0.84990978346883894</c:v>
                </c:pt>
                <c:pt idx="265">
                  <c:v>0.84282578812879472</c:v>
                </c:pt>
                <c:pt idx="266">
                  <c:v>0.83580282497473546</c:v>
                </c:pt>
                <c:pt idx="267">
                  <c:v>0.82884033576567839</c:v>
                </c:pt>
                <c:pt idx="268">
                  <c:v>0.82193776789198247</c:v>
                </c:pt>
                <c:pt idx="269">
                  <c:v>0.81509457431019983</c:v>
                </c:pt>
                <c:pt idx="270">
                  <c:v>0.80831021347879262</c:v>
                </c:pt>
                <c:pt idx="271">
                  <c:v>0.8015841492947311</c:v>
                </c:pt>
                <c:pt idx="272">
                  <c:v>0.7949158510309402</c:v>
                </c:pt>
                <c:pt idx="273">
                  <c:v>0.78830479327459224</c:v>
                </c:pt>
                <c:pt idx="274">
                  <c:v>0.78175045586621839</c:v>
                </c:pt>
                <c:pt idx="275">
                  <c:v>0.7752523238396507</c:v>
                </c:pt>
                <c:pt idx="276">
                  <c:v>0.76880988736275346</c:v>
                </c:pt>
                <c:pt idx="277">
                  <c:v>0.76242264167894902</c:v>
                </c:pt>
                <c:pt idx="278">
                  <c:v>0.7560900870495264</c:v>
                </c:pt>
                <c:pt idx="279">
                  <c:v>0.74981172869670587</c:v>
                </c:pt>
                <c:pt idx="280">
                  <c:v>0.99385787872942932</c:v>
                </c:pt>
                <c:pt idx="281">
                  <c:v>0.98552660631451627</c:v>
                </c:pt>
                <c:pt idx="282">
                  <c:v>0.97726788998012448</c:v>
                </c:pt>
                <c:pt idx="283">
                  <c:v>0.96908105338716721</c:v>
                </c:pt>
                <c:pt idx="284">
                  <c:v>0.96096542722311573</c:v>
                </c:pt>
                <c:pt idx="285">
                  <c:v>0.95292034911751311</c:v>
                </c:pt>
                <c:pt idx="286">
                  <c:v>0.94494516355867753</c:v>
                </c:pt>
                <c:pt idx="287">
                  <c:v>0.93703922181157928</c:v>
                </c:pt>
                <c:pt idx="288">
                  <c:v>0.92920188183688091</c:v>
                </c:pt>
                <c:pt idx="289">
                  <c:v>0.92143250821109635</c:v>
                </c:pt>
                <c:pt idx="290">
                  <c:v>0.91373047204788627</c:v>
                </c:pt>
                <c:pt idx="291">
                  <c:v>0.90609515092043591</c:v>
                </c:pt>
                <c:pt idx="292">
                  <c:v>0.89852592878491799</c:v>
                </c:pt>
                <c:pt idx="293">
                  <c:v>0.89102219590503029</c:v>
                </c:pt>
                <c:pt idx="294">
                  <c:v>0.88358334877756339</c:v>
                </c:pt>
                <c:pt idx="295">
                  <c:v>0.87620879005900965</c:v>
                </c:pt>
                <c:pt idx="296">
                  <c:v>0.86889792849318026</c:v>
                </c:pt>
                <c:pt idx="297">
                  <c:v>0.86165017883981632</c:v>
                </c:pt>
                <c:pt idx="298">
                  <c:v>0.8544649618041954</c:v>
                </c:pt>
                <c:pt idx="299">
                  <c:v>0.84734170396767994</c:v>
                </c:pt>
                <c:pt idx="300">
                  <c:v>0.84027983771923942</c:v>
                </c:pt>
                <c:pt idx="301">
                  <c:v>0.83327880118788877</c:v>
                </c:pt>
                <c:pt idx="302">
                  <c:v>0.82633803817605933</c:v>
                </c:pt>
                <c:pt idx="303">
                  <c:v>0.81945699809387107</c:v>
                </c:pt>
                <c:pt idx="304">
                  <c:v>0.81263513589429159</c:v>
                </c:pt>
                <c:pt idx="305">
                  <c:v>0.8058719120091834</c:v>
                </c:pt>
                <c:pt idx="306">
                  <c:v>0.7991667922862018</c:v>
                </c:pt>
                <c:pt idx="307">
                  <c:v>0.7925192479265516</c:v>
                </c:pt>
                <c:pt idx="308">
                  <c:v>0.7859287554235791</c:v>
                </c:pt>
                <c:pt idx="309">
                  <c:v>0.77939479650218479</c:v>
                </c:pt>
                <c:pt idx="310">
                  <c:v>0.77291685805904775</c:v>
                </c:pt>
                <c:pt idx="311">
                  <c:v>0.76649443210365242</c:v>
                </c:pt>
                <c:pt idx="312">
                  <c:v>0.76012701570009444</c:v>
                </c:pt>
                <c:pt idx="313">
                  <c:v>0.75381411090966421</c:v>
                </c:pt>
                <c:pt idx="314">
                  <c:v>0.74755522473419644</c:v>
                </c:pt>
                <c:pt idx="315">
                  <c:v>0.74134986906015665</c:v>
                </c:pt>
                <c:pt idx="316">
                  <c:v>0.73519756060347941</c:v>
                </c:pt>
                <c:pt idx="317">
                  <c:v>0.72909782085512909</c:v>
                </c:pt>
                <c:pt idx="318">
                  <c:v>0.7230501760273752</c:v>
                </c:pt>
                <c:pt idx="319">
                  <c:v>0.71705415700077368</c:v>
                </c:pt>
                <c:pt idx="320">
                  <c:v>0.96105290436861546</c:v>
                </c:pt>
                <c:pt idx="321">
                  <c:v>0.95300706606398822</c:v>
                </c:pt>
                <c:pt idx="322">
                  <c:v>0.94503112736596717</c:v>
                </c:pt>
                <c:pt idx="323">
                  <c:v>0.93712443946659829</c:v>
                </c:pt>
                <c:pt idx="324">
                  <c:v>0.92928636025448708</c:v>
                </c:pt>
                <c:pt idx="325">
                  <c:v>0.92151625423495387</c:v>
                </c:pt>
                <c:pt idx="326">
                  <c:v>0.91381349245130561</c:v>
                </c:pt>
                <c:pt idx="327">
                  <c:v>0.90617745240721304</c:v>
                </c:pt>
                <c:pt idx="328">
                  <c:v>0.89860751799015504</c:v>
                </c:pt>
                <c:pt idx="329">
                  <c:v>0.89110307939594713</c:v>
                </c:pt>
                <c:pt idx="330">
                  <c:v>0.88366353305429923</c:v>
                </c:pt>
                <c:pt idx="331">
                  <c:v>0.87628828155540972</c:v>
                </c:pt>
                <c:pt idx="332">
                  <c:v>0.86897673357757432</c:v>
                </c:pt>
                <c:pt idx="333">
                  <c:v>0.86172830381579157</c:v>
                </c:pt>
                <c:pt idx="334">
                  <c:v>0.85454241291134347</c:v>
                </c:pt>
                <c:pt idx="335">
                  <c:v>0.84741848738235326</c:v>
                </c:pt>
                <c:pt idx="336">
                  <c:v>0.8403559595552792</c:v>
                </c:pt>
                <c:pt idx="337">
                  <c:v>0.83335426749735786</c:v>
                </c:pt>
                <c:pt idx="338">
                  <c:v>0.82641285494995775</c:v>
                </c:pt>
                <c:pt idx="339">
                  <c:v>0.81953117126283925</c:v>
                </c:pt>
                <c:pt idx="340">
                  <c:v>0.81270867132931035</c:v>
                </c:pt>
                <c:pt idx="341">
                  <c:v>0.80594481552225927</c:v>
                </c:pt>
                <c:pt idx="342">
                  <c:v>0.79923906963105018</c:v>
                </c:pt>
                <c:pt idx="343">
                  <c:v>0.79259090479926053</c:v>
                </c:pt>
                <c:pt idx="344">
                  <c:v>0.78599979746327353</c:v>
                </c:pt>
                <c:pt idx="345">
                  <c:v>0.77946522929167694</c:v>
                </c:pt>
                <c:pt idx="346">
                  <c:v>0.77298668712547858</c:v>
                </c:pt>
                <c:pt idx="347">
                  <c:v>0.76656366291912736</c:v>
                </c:pt>
                <c:pt idx="348">
                  <c:v>0.76019565368230901</c:v>
                </c:pt>
                <c:pt idx="349">
                  <c:v>0.75388216142252229</c:v>
                </c:pt>
                <c:pt idx="350">
                  <c:v>0.747622693088417</c:v>
                </c:pt>
                <c:pt idx="351">
                  <c:v>0.74141676051387684</c:v>
                </c:pt>
                <c:pt idx="352">
                  <c:v>0.73526388036284829</c:v>
                </c:pt>
                <c:pt idx="353">
                  <c:v>0.72916357407489252</c:v>
                </c:pt>
                <c:pt idx="354">
                  <c:v>0.72311536781145169</c:v>
                </c:pt>
                <c:pt idx="355">
                  <c:v>0.71711879240282794</c:v>
                </c:pt>
                <c:pt idx="356">
                  <c:v>0.71117338329584356</c:v>
                </c:pt>
                <c:pt idx="357">
                  <c:v>0.70527868050220366</c:v>
                </c:pt>
                <c:pt idx="358">
                  <c:v>0.69943422854751047</c:v>
                </c:pt>
                <c:pt idx="359">
                  <c:v>0.6936395764209633</c:v>
                </c:pt>
                <c:pt idx="360">
                  <c:v>0.93760373915259987</c:v>
                </c:pt>
                <c:pt idx="361">
                  <c:v>0.92976150207247288</c:v>
                </c:pt>
                <c:pt idx="362">
                  <c:v>0.92198727667878411</c:v>
                </c:pt>
                <c:pt idx="363">
                  <c:v>0.91428043361911393</c:v>
                </c:pt>
                <c:pt idx="364">
                  <c:v>0.90664035000609688</c:v>
                </c:pt>
                <c:pt idx="365">
                  <c:v>0.89906640934081195</c:v>
                </c:pt>
                <c:pt idx="366">
                  <c:v>0.89155800143723263</c:v>
                </c:pt>
                <c:pt idx="367">
                  <c:v>0.88411452234772958</c:v>
                </c:pt>
                <c:pt idx="368">
                  <c:v>0.87673537428960335</c:v>
                </c:pt>
                <c:pt idx="369">
                  <c:v>0.86941996557262757</c:v>
                </c:pt>
                <c:pt idx="370">
                  <c:v>0.86216771052759622</c:v>
                </c:pt>
                <c:pt idx="371">
                  <c:v>0.85497802943584422</c:v>
                </c:pt>
                <c:pt idx="372">
                  <c:v>0.84785034845974883</c:v>
                </c:pt>
                <c:pt idx="373">
                  <c:v>0.84078409957416722</c:v>
                </c:pt>
                <c:pt idx="374">
                  <c:v>0.83377872049881663</c:v>
                </c:pt>
                <c:pt idx="375">
                  <c:v>0.82683365463157665</c:v>
                </c:pt>
                <c:pt idx="376">
                  <c:v>0.81994835098269803</c:v>
                </c:pt>
                <c:pt idx="377">
                  <c:v>0.81312226410990096</c:v>
                </c:pt>
                <c:pt idx="378">
                  <c:v>0.80635485405435081</c:v>
                </c:pt>
                <c:pt idx="379">
                  <c:v>0.79964558627750781</c:v>
                </c:pt>
                <c:pt idx="380">
                  <c:v>0.79299393159881248</c:v>
                </c:pt>
                <c:pt idx="381">
                  <c:v>0.78639936613422257</c:v>
                </c:pt>
                <c:pt idx="382">
                  <c:v>0.7798613712355662</c:v>
                </c:pt>
                <c:pt idx="383">
                  <c:v>0.7733794334307097</c:v>
                </c:pt>
                <c:pt idx="384">
                  <c:v>0.76695304436452683</c:v>
                </c:pt>
                <c:pt idx="385">
                  <c:v>0.76058170074064724</c:v>
                </c:pt>
                <c:pt idx="386">
                  <c:v>0.75426490426398984</c:v>
                </c:pt>
                <c:pt idx="387">
                  <c:v>0.7480021615840482</c:v>
                </c:pt>
                <c:pt idx="388">
                  <c:v>0.74179298423893592</c:v>
                </c:pt>
                <c:pt idx="389">
                  <c:v>0.7356368886001643</c:v>
                </c:pt>
                <c:pt idx="390">
                  <c:v>0.72953339581815368</c:v>
                </c:pt>
                <c:pt idx="391">
                  <c:v>0.72348203176845649</c:v>
                </c:pt>
                <c:pt idx="392">
                  <c:v>0.7174823269986893</c:v>
                </c:pt>
                <c:pt idx="393">
                  <c:v>0.71153381667616089</c:v>
                </c:pt>
                <c:pt idx="394">
                  <c:v>0.70563604053618012</c:v>
                </c:pt>
                <c:pt idx="395">
                  <c:v>0.69978854283104308</c:v>
                </c:pt>
                <c:pt idx="396">
                  <c:v>0.69399087227968048</c:v>
                </c:pt>
                <c:pt idx="397">
                  <c:v>0.68824258201796396</c:v>
                </c:pt>
                <c:pt idx="398">
                  <c:v>0.68254322954964808</c:v>
                </c:pt>
                <c:pt idx="399">
                  <c:v>0.67689237669795443</c:v>
                </c:pt>
                <c:pt idx="400">
                  <c:v>0.92083144317221877</c:v>
                </c:pt>
                <c:pt idx="401">
                  <c:v>0.91313461482460845</c:v>
                </c:pt>
                <c:pt idx="402">
                  <c:v>0.90550445340144092</c:v>
                </c:pt>
                <c:pt idx="403">
                  <c:v>0.89794034335185402</c:v>
                </c:pt>
                <c:pt idx="404">
                  <c:v>0.8904416754266784</c:v>
                </c:pt>
                <c:pt idx="405">
                  <c:v>0.88300784660410159</c:v>
                </c:pt>
                <c:pt idx="406">
                  <c:v>0.87563826001634681</c:v>
                </c:pt>
                <c:pt idx="407">
                  <c:v>0.8683323248773771</c:v>
                </c:pt>
                <c:pt idx="408">
                  <c:v>0.86108945641157431</c:v>
                </c:pt>
                <c:pt idx="409">
                  <c:v>0.85390907578342512</c:v>
                </c:pt>
                <c:pt idx="410">
                  <c:v>0.84679061002814615</c:v>
                </c:pt>
                <c:pt idx="411">
                  <c:v>0.83973349198327407</c:v>
                </c:pt>
                <c:pt idx="412">
                  <c:v>0.83273716022118127</c:v>
                </c:pt>
                <c:pt idx="413">
                  <c:v>0.82580105898251499</c:v>
                </c:pt>
                <c:pt idx="414">
                  <c:v>0.81892463811053795</c:v>
                </c:pt>
                <c:pt idx="415">
                  <c:v>0.81210735298636194</c:v>
                </c:pt>
                <c:pt idx="416">
                  <c:v>0.80534866446505149</c:v>
                </c:pt>
                <c:pt idx="417">
                  <c:v>0.79864803881260282</c:v>
                </c:pt>
                <c:pt idx="418">
                  <c:v>0.79200494764375573</c:v>
                </c:pt>
                <c:pt idx="419">
                  <c:v>0.78541886786065185</c:v>
                </c:pt>
                <c:pt idx="420">
                  <c:v>0.77888928159231319</c:v>
                </c:pt>
                <c:pt idx="421">
                  <c:v>0.77241567613492734</c:v>
                </c:pt>
                <c:pt idx="422">
                  <c:v>0.76599754389293717</c:v>
                </c:pt>
                <c:pt idx="423">
                  <c:v>0.75963438232090563</c:v>
                </c:pt>
                <c:pt idx="424">
                  <c:v>0.75332569386616066</c:v>
                </c:pt>
                <c:pt idx="425">
                  <c:v>0.747070985912199</c:v>
                </c:pt>
                <c:pt idx="426">
                  <c:v>0.74086977072283633</c:v>
                </c:pt>
                <c:pt idx="427">
                  <c:v>0.73472156538710276</c:v>
                </c:pt>
                <c:pt idx="428">
                  <c:v>0.72862589176485193</c:v>
                </c:pt>
                <c:pt idx="429">
                  <c:v>0.72258227643309936</c:v>
                </c:pt>
                <c:pt idx="430">
                  <c:v>0.71659025063305337</c:v>
                </c:pt>
                <c:pt idx="431">
                  <c:v>0.71064935021784525</c:v>
                </c:pt>
                <c:pt idx="432">
                  <c:v>0.70475911560094651</c:v>
                </c:pt>
                <c:pt idx="433">
                  <c:v>0.69891909170524602</c:v>
                </c:pt>
                <c:pt idx="434">
                  <c:v>0.69312882791280195</c:v>
                </c:pt>
                <c:pt idx="435">
                  <c:v>0.68738787801524359</c:v>
                </c:pt>
                <c:pt idx="436">
                  <c:v>0.68169580016480591</c:v>
                </c:pt>
                <c:pt idx="437">
                  <c:v>0.67605215682601316</c:v>
                </c:pt>
                <c:pt idx="438">
                  <c:v>0.67045651472797174</c:v>
                </c:pt>
                <c:pt idx="439">
                  <c:v>0.66490844481728495</c:v>
                </c:pt>
                <c:pt idx="440">
                  <c:v>0.90882936854487872</c:v>
                </c:pt>
                <c:pt idx="441">
                  <c:v>0.90123648064893935</c:v>
                </c:pt>
                <c:pt idx="442">
                  <c:v>0.89370930024477424</c:v>
                </c:pt>
                <c:pt idx="443">
                  <c:v>0.88624722159936264</c:v>
                </c:pt>
                <c:pt idx="444">
                  <c:v>0.8788496451656157</c:v>
                </c:pt>
                <c:pt idx="445">
                  <c:v>0.87151597750964638</c:v>
                </c:pt>
                <c:pt idx="446">
                  <c:v>0.86424563123902109</c:v>
                </c:pt>
                <c:pt idx="447">
                  <c:v>0.85703802493200276</c:v>
                </c:pt>
                <c:pt idx="448">
                  <c:v>0.84989258306777482</c:v>
                </c:pt>
                <c:pt idx="449">
                  <c:v>0.8428087359576073</c:v>
                </c:pt>
                <c:pt idx="450">
                  <c:v>0.83578591967697025</c:v>
                </c:pt>
                <c:pt idx="451">
                  <c:v>0.82882357599857481</c:v>
                </c:pt>
                <c:pt idx="452">
                  <c:v>0.82192115232631802</c:v>
                </c:pt>
                <c:pt idx="453">
                  <c:v>0.81507810163012584</c:v>
                </c:pt>
                <c:pt idx="454">
                  <c:v>0.80829388238168942</c:v>
                </c:pt>
                <c:pt idx="455">
                  <c:v>0.80156795849104712</c:v>
                </c:pt>
                <c:pt idx="456">
                  <c:v>0.79489979924404897</c:v>
                </c:pt>
                <c:pt idx="457">
                  <c:v>0.78828887924063795</c:v>
                </c:pt>
                <c:pt idx="458">
                  <c:v>0.78173467833397525</c:v>
                </c:pt>
                <c:pt idx="459">
                  <c:v>0.77523668157037506</c:v>
                </c:pt>
                <c:pt idx="460">
                  <c:v>0.76879437913004223</c:v>
                </c:pt>
                <c:pt idx="461">
                  <c:v>0.762407266268599</c:v>
                </c:pt>
                <c:pt idx="462">
                  <c:v>0.756074843259398</c:v>
                </c:pt>
                <c:pt idx="463">
                  <c:v>0.74979661533658604</c:v>
                </c:pt>
                <c:pt idx="464">
                  <c:v>0.74357209263893687</c:v>
                </c:pt>
                <c:pt idx="465">
                  <c:v>0.7374007901544174</c:v>
                </c:pt>
                <c:pt idx="466">
                  <c:v>0.73128222766549045</c:v>
                </c:pt>
                <c:pt idx="467">
                  <c:v>0.72521592969513526</c:v>
                </c:pt>
                <c:pt idx="468">
                  <c:v>0.71920142545357602</c:v>
                </c:pt>
                <c:pt idx="469">
                  <c:v>0.71323824878570796</c:v>
                </c:pt>
                <c:pt idx="470">
                  <c:v>0.70732593811921429</c:v>
                </c:pt>
                <c:pt idx="471">
                  <c:v>0.70146403641336008</c:v>
                </c:pt>
                <c:pt idx="472">
                  <c:v>0.69565209110844983</c:v>
                </c:pt>
                <c:pt idx="473">
                  <c:v>0.6898896540759426</c:v>
                </c:pt>
                <c:pt idx="474">
                  <c:v>0.68417628156921528</c:v>
                </c:pt>
                <c:pt idx="475">
                  <c:v>0.67851153417496424</c:v>
                </c:pt>
                <c:pt idx="476">
                  <c:v>0.67289497676522891</c:v>
                </c:pt>
                <c:pt idx="477">
                  <c:v>0.66732617845004205</c:v>
                </c:pt>
                <c:pt idx="478">
                  <c:v>0.66180471253067996</c:v>
                </c:pt>
                <c:pt idx="479">
                  <c:v>0.65633015645351733</c:v>
                </c:pt>
              </c:numCache>
            </c:numRef>
          </c:val>
          <c:smooth val="0"/>
          <c:extLst>
            <c:ext xmlns:c16="http://schemas.microsoft.com/office/drawing/2014/chart" uri="{C3380CC4-5D6E-409C-BE32-E72D297353CC}">
              <c16:uniqueId val="{00000001-7780-43F0-94D5-67FF37BCB423}"/>
            </c:ext>
          </c:extLst>
        </c:ser>
        <c:dLbls>
          <c:showLegendKey val="0"/>
          <c:showVal val="0"/>
          <c:showCatName val="0"/>
          <c:showSerName val="0"/>
          <c:showPercent val="0"/>
          <c:showBubbleSize val="0"/>
        </c:dLbls>
        <c:marker val="1"/>
        <c:smooth val="0"/>
        <c:axId val="2134919175"/>
        <c:axId val="2134958599"/>
      </c:lineChart>
      <c:lineChart>
        <c:grouping val="standard"/>
        <c:varyColors val="0"/>
        <c:ser>
          <c:idx val="2"/>
          <c:order val="1"/>
          <c:tx>
            <c:strRef>
              <c:f>'Uurlijkse calc'!$AA$2</c:f>
              <c:strCache>
                <c:ptCount val="1"/>
                <c:pt idx="0">
                  <c:v>carb reservoir</c:v>
                </c:pt>
              </c:strCache>
            </c:strRef>
          </c:tx>
          <c:spPr>
            <a:ln w="28575" cap="rnd">
              <a:solidFill>
                <a:schemeClr val="accent3"/>
              </a:solidFill>
              <a:round/>
            </a:ln>
            <a:effectLst/>
          </c:spPr>
          <c:marker>
            <c:symbol val="none"/>
          </c:marker>
          <c:cat>
            <c:numRef>
              <c:f>'Uurlijkse calc'!$E$3:$E$482</c:f>
              <c:numCache>
                <c:formatCode>h:mm;@</c:formatCode>
                <c:ptCount val="480"/>
                <c:pt idx="0">
                  <c:v>1.0006944444444446</c:v>
                </c:pt>
                <c:pt idx="1">
                  <c:v>1.0013888888888891</c:v>
                </c:pt>
                <c:pt idx="2">
                  <c:v>1.0020833333333337</c:v>
                </c:pt>
                <c:pt idx="3">
                  <c:v>1.0027777777777782</c:v>
                </c:pt>
                <c:pt idx="4">
                  <c:v>1.0034722222222228</c:v>
                </c:pt>
                <c:pt idx="5">
                  <c:v>1.0041666666666673</c:v>
                </c:pt>
                <c:pt idx="6">
                  <c:v>1.0048611111111119</c:v>
                </c:pt>
                <c:pt idx="7">
                  <c:v>1.0055555555555564</c:v>
                </c:pt>
                <c:pt idx="8">
                  <c:v>1.006250000000001</c:v>
                </c:pt>
                <c:pt idx="9">
                  <c:v>1.0069444444444455</c:v>
                </c:pt>
                <c:pt idx="10">
                  <c:v>1.0076388888888901</c:v>
                </c:pt>
                <c:pt idx="11">
                  <c:v>1.0083333333333346</c:v>
                </c:pt>
                <c:pt idx="12">
                  <c:v>1.0090277777777792</c:v>
                </c:pt>
                <c:pt idx="13">
                  <c:v>1.0097222222222237</c:v>
                </c:pt>
                <c:pt idx="14">
                  <c:v>1.0104166666666683</c:v>
                </c:pt>
                <c:pt idx="15">
                  <c:v>1.0111111111111128</c:v>
                </c:pt>
                <c:pt idx="16">
                  <c:v>1.0118055555555574</c:v>
                </c:pt>
                <c:pt idx="17">
                  <c:v>1.012500000000002</c:v>
                </c:pt>
                <c:pt idx="18">
                  <c:v>1.0131944444444465</c:v>
                </c:pt>
                <c:pt idx="19">
                  <c:v>1.0138888888888911</c:v>
                </c:pt>
                <c:pt idx="20">
                  <c:v>1.0145833333333356</c:v>
                </c:pt>
                <c:pt idx="21">
                  <c:v>1.0152777777777802</c:v>
                </c:pt>
                <c:pt idx="22">
                  <c:v>1.0159722222222247</c:v>
                </c:pt>
                <c:pt idx="23">
                  <c:v>1.0166666666666693</c:v>
                </c:pt>
                <c:pt idx="24">
                  <c:v>1.0173611111111138</c:v>
                </c:pt>
                <c:pt idx="25">
                  <c:v>1.0180555555555584</c:v>
                </c:pt>
                <c:pt idx="26">
                  <c:v>1.0187500000000029</c:v>
                </c:pt>
                <c:pt idx="27">
                  <c:v>1.0194444444444475</c:v>
                </c:pt>
                <c:pt idx="28">
                  <c:v>1.020138888888892</c:v>
                </c:pt>
                <c:pt idx="29">
                  <c:v>1.0208333333333366</c:v>
                </c:pt>
                <c:pt idx="30">
                  <c:v>1.0215277777777811</c:v>
                </c:pt>
                <c:pt idx="31">
                  <c:v>1.0222222222222257</c:v>
                </c:pt>
                <c:pt idx="32">
                  <c:v>1.0229166666666702</c:v>
                </c:pt>
                <c:pt idx="33">
                  <c:v>1.0236111111111148</c:v>
                </c:pt>
                <c:pt idx="34">
                  <c:v>1.0243055555555594</c:v>
                </c:pt>
                <c:pt idx="35">
                  <c:v>1.0250000000000039</c:v>
                </c:pt>
                <c:pt idx="36">
                  <c:v>1.0256944444444485</c:v>
                </c:pt>
                <c:pt idx="37">
                  <c:v>1.026388888888893</c:v>
                </c:pt>
                <c:pt idx="38">
                  <c:v>1.0270833333333376</c:v>
                </c:pt>
                <c:pt idx="39">
                  <c:v>1.0277777777777821</c:v>
                </c:pt>
                <c:pt idx="40">
                  <c:v>1.0284722222222267</c:v>
                </c:pt>
                <c:pt idx="41">
                  <c:v>1.0291666666666712</c:v>
                </c:pt>
                <c:pt idx="42">
                  <c:v>1.0298611111111158</c:v>
                </c:pt>
                <c:pt idx="43">
                  <c:v>1.0305555555555603</c:v>
                </c:pt>
                <c:pt idx="44">
                  <c:v>1.0312500000000049</c:v>
                </c:pt>
                <c:pt idx="45">
                  <c:v>1.0319444444444494</c:v>
                </c:pt>
                <c:pt idx="46">
                  <c:v>1.032638888888894</c:v>
                </c:pt>
                <c:pt idx="47">
                  <c:v>1.0333333333333385</c:v>
                </c:pt>
                <c:pt idx="48">
                  <c:v>1.0340277777777831</c:v>
                </c:pt>
                <c:pt idx="49">
                  <c:v>1.0347222222222276</c:v>
                </c:pt>
                <c:pt idx="50">
                  <c:v>1.0354166666666722</c:v>
                </c:pt>
                <c:pt idx="51">
                  <c:v>1.0361111111111168</c:v>
                </c:pt>
                <c:pt idx="52">
                  <c:v>1.0368055555555613</c:v>
                </c:pt>
                <c:pt idx="53">
                  <c:v>1.0375000000000059</c:v>
                </c:pt>
                <c:pt idx="54">
                  <c:v>1.0381944444444504</c:v>
                </c:pt>
                <c:pt idx="55">
                  <c:v>1.038888888888895</c:v>
                </c:pt>
                <c:pt idx="56">
                  <c:v>1.0395833333333395</c:v>
                </c:pt>
                <c:pt idx="57">
                  <c:v>1.0402777777777841</c:v>
                </c:pt>
                <c:pt idx="58">
                  <c:v>1.0409722222222286</c:v>
                </c:pt>
                <c:pt idx="59">
                  <c:v>1.0416666666666732</c:v>
                </c:pt>
                <c:pt idx="60">
                  <c:v>1.0423611111111177</c:v>
                </c:pt>
                <c:pt idx="61">
                  <c:v>1.0430555555555623</c:v>
                </c:pt>
                <c:pt idx="62">
                  <c:v>1.0437500000000068</c:v>
                </c:pt>
                <c:pt idx="63">
                  <c:v>1.0444444444444514</c:v>
                </c:pt>
                <c:pt idx="64">
                  <c:v>1.0451388888888959</c:v>
                </c:pt>
                <c:pt idx="65">
                  <c:v>1.0458333333333405</c:v>
                </c:pt>
                <c:pt idx="66">
                  <c:v>1.0465277777777851</c:v>
                </c:pt>
                <c:pt idx="67">
                  <c:v>1.0472222222222296</c:v>
                </c:pt>
                <c:pt idx="68">
                  <c:v>1.0479166666666742</c:v>
                </c:pt>
                <c:pt idx="69">
                  <c:v>1.0486111111111187</c:v>
                </c:pt>
                <c:pt idx="70">
                  <c:v>1.0493055555555633</c:v>
                </c:pt>
                <c:pt idx="71">
                  <c:v>1.0500000000000078</c:v>
                </c:pt>
                <c:pt idx="72">
                  <c:v>1.0506944444444524</c:v>
                </c:pt>
                <c:pt idx="73">
                  <c:v>1.0513888888888969</c:v>
                </c:pt>
                <c:pt idx="74">
                  <c:v>1.0520833333333415</c:v>
                </c:pt>
                <c:pt idx="75">
                  <c:v>1.052777777777786</c:v>
                </c:pt>
                <c:pt idx="76">
                  <c:v>1.0534722222222306</c:v>
                </c:pt>
                <c:pt idx="77">
                  <c:v>1.0541666666666751</c:v>
                </c:pt>
                <c:pt idx="78">
                  <c:v>1.0548611111111197</c:v>
                </c:pt>
                <c:pt idx="79">
                  <c:v>1.0555555555555642</c:v>
                </c:pt>
                <c:pt idx="80">
                  <c:v>1.0562500000000088</c:v>
                </c:pt>
                <c:pt idx="81">
                  <c:v>1.0569444444444533</c:v>
                </c:pt>
                <c:pt idx="82">
                  <c:v>1.0576388888888979</c:v>
                </c:pt>
                <c:pt idx="83">
                  <c:v>1.0583333333333425</c:v>
                </c:pt>
                <c:pt idx="84">
                  <c:v>1.059027777777787</c:v>
                </c:pt>
                <c:pt idx="85">
                  <c:v>1.0597222222222316</c:v>
                </c:pt>
                <c:pt idx="86">
                  <c:v>1.0604166666666761</c:v>
                </c:pt>
                <c:pt idx="87">
                  <c:v>1.0611111111111207</c:v>
                </c:pt>
                <c:pt idx="88">
                  <c:v>1.0618055555555652</c:v>
                </c:pt>
                <c:pt idx="89">
                  <c:v>1.0625000000000098</c:v>
                </c:pt>
                <c:pt idx="90">
                  <c:v>1.0631944444444543</c:v>
                </c:pt>
                <c:pt idx="91">
                  <c:v>1.0638888888888989</c:v>
                </c:pt>
                <c:pt idx="92">
                  <c:v>1.0645833333333434</c:v>
                </c:pt>
                <c:pt idx="93">
                  <c:v>1.065277777777788</c:v>
                </c:pt>
                <c:pt idx="94">
                  <c:v>1.0659722222222325</c:v>
                </c:pt>
                <c:pt idx="95">
                  <c:v>1.0666666666666771</c:v>
                </c:pt>
                <c:pt idx="96">
                  <c:v>1.0673611111111216</c:v>
                </c:pt>
                <c:pt idx="97">
                  <c:v>1.0680555555555662</c:v>
                </c:pt>
                <c:pt idx="98">
                  <c:v>1.0687500000000107</c:v>
                </c:pt>
                <c:pt idx="99">
                  <c:v>1.0694444444444553</c:v>
                </c:pt>
                <c:pt idx="100">
                  <c:v>1.0701388888888999</c:v>
                </c:pt>
                <c:pt idx="101">
                  <c:v>1.0708333333333444</c:v>
                </c:pt>
                <c:pt idx="102">
                  <c:v>1.071527777777789</c:v>
                </c:pt>
                <c:pt idx="103">
                  <c:v>1.0722222222222335</c:v>
                </c:pt>
                <c:pt idx="104">
                  <c:v>1.0729166666666781</c:v>
                </c:pt>
                <c:pt idx="105">
                  <c:v>1.0736111111111226</c:v>
                </c:pt>
                <c:pt idx="106">
                  <c:v>1.0743055555555672</c:v>
                </c:pt>
                <c:pt idx="107">
                  <c:v>1.0750000000000117</c:v>
                </c:pt>
                <c:pt idx="108">
                  <c:v>1.0756944444444563</c:v>
                </c:pt>
                <c:pt idx="109">
                  <c:v>1.0763888888889008</c:v>
                </c:pt>
                <c:pt idx="110">
                  <c:v>1.0770833333333454</c:v>
                </c:pt>
                <c:pt idx="111">
                  <c:v>1.0777777777777899</c:v>
                </c:pt>
                <c:pt idx="112">
                  <c:v>1.0784722222222345</c:v>
                </c:pt>
                <c:pt idx="113">
                  <c:v>1.079166666666679</c:v>
                </c:pt>
                <c:pt idx="114">
                  <c:v>1.0798611111111236</c:v>
                </c:pt>
                <c:pt idx="115">
                  <c:v>1.0805555555555681</c:v>
                </c:pt>
                <c:pt idx="116">
                  <c:v>1.0812500000000127</c:v>
                </c:pt>
                <c:pt idx="117">
                  <c:v>1.0819444444444573</c:v>
                </c:pt>
                <c:pt idx="118">
                  <c:v>1.0826388888889018</c:v>
                </c:pt>
                <c:pt idx="119">
                  <c:v>1.0833333333333464</c:v>
                </c:pt>
                <c:pt idx="120">
                  <c:v>1.0840277777777909</c:v>
                </c:pt>
                <c:pt idx="121">
                  <c:v>1.0847222222222355</c:v>
                </c:pt>
                <c:pt idx="122">
                  <c:v>1.08541666666668</c:v>
                </c:pt>
                <c:pt idx="123">
                  <c:v>1.0861111111111246</c:v>
                </c:pt>
                <c:pt idx="124">
                  <c:v>1.0868055555555691</c:v>
                </c:pt>
                <c:pt idx="125">
                  <c:v>1.0875000000000137</c:v>
                </c:pt>
                <c:pt idx="126">
                  <c:v>1.0881944444444582</c:v>
                </c:pt>
                <c:pt idx="127">
                  <c:v>1.0888888888889028</c:v>
                </c:pt>
                <c:pt idx="128">
                  <c:v>1.0895833333333473</c:v>
                </c:pt>
                <c:pt idx="129">
                  <c:v>1.0902777777777919</c:v>
                </c:pt>
                <c:pt idx="130">
                  <c:v>1.0909722222222364</c:v>
                </c:pt>
                <c:pt idx="131">
                  <c:v>1.091666666666681</c:v>
                </c:pt>
                <c:pt idx="132">
                  <c:v>1.0923611111111255</c:v>
                </c:pt>
                <c:pt idx="133">
                  <c:v>1.0930555555555701</c:v>
                </c:pt>
                <c:pt idx="134">
                  <c:v>1.0937500000000147</c:v>
                </c:pt>
                <c:pt idx="135">
                  <c:v>1.0944444444444592</c:v>
                </c:pt>
                <c:pt idx="136">
                  <c:v>1.0951388888889038</c:v>
                </c:pt>
                <c:pt idx="137">
                  <c:v>1.0958333333333483</c:v>
                </c:pt>
                <c:pt idx="138">
                  <c:v>1.0965277777777929</c:v>
                </c:pt>
                <c:pt idx="139">
                  <c:v>1.0972222222222374</c:v>
                </c:pt>
                <c:pt idx="140">
                  <c:v>1.097916666666682</c:v>
                </c:pt>
                <c:pt idx="141">
                  <c:v>1.0986111111111265</c:v>
                </c:pt>
                <c:pt idx="142">
                  <c:v>1.0993055555555711</c:v>
                </c:pt>
                <c:pt idx="143">
                  <c:v>1.1000000000000156</c:v>
                </c:pt>
                <c:pt idx="144">
                  <c:v>1.1006944444444602</c:v>
                </c:pt>
                <c:pt idx="145">
                  <c:v>1.1013888888889047</c:v>
                </c:pt>
                <c:pt idx="146">
                  <c:v>1.1020833333333493</c:v>
                </c:pt>
                <c:pt idx="147">
                  <c:v>1.1027777777777938</c:v>
                </c:pt>
                <c:pt idx="148">
                  <c:v>1.1034722222222384</c:v>
                </c:pt>
                <c:pt idx="149">
                  <c:v>1.1041666666666829</c:v>
                </c:pt>
                <c:pt idx="150">
                  <c:v>1.1048611111111275</c:v>
                </c:pt>
                <c:pt idx="151">
                  <c:v>1.1055555555555721</c:v>
                </c:pt>
                <c:pt idx="152">
                  <c:v>1.1062500000000166</c:v>
                </c:pt>
                <c:pt idx="153">
                  <c:v>1.1069444444444612</c:v>
                </c:pt>
                <c:pt idx="154">
                  <c:v>1.1076388888889057</c:v>
                </c:pt>
                <c:pt idx="155">
                  <c:v>1.1083333333333503</c:v>
                </c:pt>
                <c:pt idx="156">
                  <c:v>1.1090277777777948</c:v>
                </c:pt>
                <c:pt idx="157">
                  <c:v>1.1097222222222394</c:v>
                </c:pt>
                <c:pt idx="158">
                  <c:v>1.1104166666666839</c:v>
                </c:pt>
                <c:pt idx="159">
                  <c:v>1.1111111111111285</c:v>
                </c:pt>
                <c:pt idx="160">
                  <c:v>1.111805555555573</c:v>
                </c:pt>
                <c:pt idx="161">
                  <c:v>1.1125000000000176</c:v>
                </c:pt>
                <c:pt idx="162">
                  <c:v>1.1131944444444621</c:v>
                </c:pt>
                <c:pt idx="163">
                  <c:v>1.1138888888889067</c:v>
                </c:pt>
                <c:pt idx="164">
                  <c:v>1.1145833333333512</c:v>
                </c:pt>
                <c:pt idx="165">
                  <c:v>1.1152777777777958</c:v>
                </c:pt>
                <c:pt idx="166">
                  <c:v>1.1159722222222404</c:v>
                </c:pt>
                <c:pt idx="167">
                  <c:v>1.1166666666666849</c:v>
                </c:pt>
                <c:pt idx="168">
                  <c:v>1.1173611111111295</c:v>
                </c:pt>
                <c:pt idx="169">
                  <c:v>1.118055555555574</c:v>
                </c:pt>
                <c:pt idx="170">
                  <c:v>1.1187500000000186</c:v>
                </c:pt>
                <c:pt idx="171">
                  <c:v>1.1194444444444631</c:v>
                </c:pt>
                <c:pt idx="172">
                  <c:v>1.1201388888889077</c:v>
                </c:pt>
                <c:pt idx="173">
                  <c:v>1.1208333333333522</c:v>
                </c:pt>
                <c:pt idx="174">
                  <c:v>1.1215277777777968</c:v>
                </c:pt>
                <c:pt idx="175">
                  <c:v>1.1222222222222413</c:v>
                </c:pt>
                <c:pt idx="176">
                  <c:v>1.1229166666666859</c:v>
                </c:pt>
                <c:pt idx="177">
                  <c:v>1.1236111111111304</c:v>
                </c:pt>
                <c:pt idx="178">
                  <c:v>1.124305555555575</c:v>
                </c:pt>
                <c:pt idx="179">
                  <c:v>1.1250000000000195</c:v>
                </c:pt>
                <c:pt idx="180">
                  <c:v>1.1256944444444641</c:v>
                </c:pt>
                <c:pt idx="181">
                  <c:v>1.1263888888889086</c:v>
                </c:pt>
                <c:pt idx="182">
                  <c:v>1.1270833333333532</c:v>
                </c:pt>
                <c:pt idx="183">
                  <c:v>1.1277777777777978</c:v>
                </c:pt>
                <c:pt idx="184">
                  <c:v>1.1284722222222423</c:v>
                </c:pt>
                <c:pt idx="185">
                  <c:v>1.1291666666666869</c:v>
                </c:pt>
                <c:pt idx="186">
                  <c:v>1.1298611111111314</c:v>
                </c:pt>
                <c:pt idx="187">
                  <c:v>1.130555555555576</c:v>
                </c:pt>
                <c:pt idx="188">
                  <c:v>1.1312500000000205</c:v>
                </c:pt>
                <c:pt idx="189">
                  <c:v>1.1319444444444651</c:v>
                </c:pt>
                <c:pt idx="190">
                  <c:v>1.1326388888889096</c:v>
                </c:pt>
                <c:pt idx="191">
                  <c:v>1.1333333333333542</c:v>
                </c:pt>
                <c:pt idx="192">
                  <c:v>1.1340277777777987</c:v>
                </c:pt>
                <c:pt idx="193">
                  <c:v>1.1347222222222433</c:v>
                </c:pt>
                <c:pt idx="194">
                  <c:v>1.1354166666666878</c:v>
                </c:pt>
                <c:pt idx="195">
                  <c:v>1.1361111111111324</c:v>
                </c:pt>
                <c:pt idx="196">
                  <c:v>1.1368055555555769</c:v>
                </c:pt>
                <c:pt idx="197">
                  <c:v>1.1375000000000215</c:v>
                </c:pt>
                <c:pt idx="198">
                  <c:v>1.138194444444466</c:v>
                </c:pt>
                <c:pt idx="199">
                  <c:v>1.1388888888889106</c:v>
                </c:pt>
                <c:pt idx="200">
                  <c:v>1.1395833333333552</c:v>
                </c:pt>
                <c:pt idx="201">
                  <c:v>1.1402777777777997</c:v>
                </c:pt>
                <c:pt idx="202">
                  <c:v>1.1409722222222443</c:v>
                </c:pt>
                <c:pt idx="203">
                  <c:v>1.1416666666666888</c:v>
                </c:pt>
                <c:pt idx="204">
                  <c:v>1.1423611111111334</c:v>
                </c:pt>
                <c:pt idx="205">
                  <c:v>1.1430555555555779</c:v>
                </c:pt>
                <c:pt idx="206">
                  <c:v>1.1437500000000225</c:v>
                </c:pt>
                <c:pt idx="207">
                  <c:v>1.144444444444467</c:v>
                </c:pt>
                <c:pt idx="208">
                  <c:v>1.1451388888889116</c:v>
                </c:pt>
                <c:pt idx="209">
                  <c:v>1.1458333333333561</c:v>
                </c:pt>
                <c:pt idx="210">
                  <c:v>1.1465277777778007</c:v>
                </c:pt>
                <c:pt idx="211">
                  <c:v>1.1472222222222452</c:v>
                </c:pt>
                <c:pt idx="212">
                  <c:v>1.1479166666666898</c:v>
                </c:pt>
                <c:pt idx="213">
                  <c:v>1.1486111111111343</c:v>
                </c:pt>
                <c:pt idx="214">
                  <c:v>1.1493055555555789</c:v>
                </c:pt>
                <c:pt idx="215">
                  <c:v>1.1500000000000234</c:v>
                </c:pt>
                <c:pt idx="216">
                  <c:v>1.150694444444468</c:v>
                </c:pt>
                <c:pt idx="217">
                  <c:v>1.1513888888889126</c:v>
                </c:pt>
                <c:pt idx="218">
                  <c:v>1.1520833333333571</c:v>
                </c:pt>
                <c:pt idx="219">
                  <c:v>1.1527777777778017</c:v>
                </c:pt>
                <c:pt idx="220">
                  <c:v>1.1534722222222462</c:v>
                </c:pt>
                <c:pt idx="221">
                  <c:v>1.1541666666666908</c:v>
                </c:pt>
                <c:pt idx="222">
                  <c:v>1.1548611111111353</c:v>
                </c:pt>
                <c:pt idx="223">
                  <c:v>1.1555555555555799</c:v>
                </c:pt>
                <c:pt idx="224">
                  <c:v>1.1562500000000244</c:v>
                </c:pt>
                <c:pt idx="225">
                  <c:v>1.156944444444469</c:v>
                </c:pt>
                <c:pt idx="226">
                  <c:v>1.1576388888889135</c:v>
                </c:pt>
                <c:pt idx="227">
                  <c:v>1.1583333333333581</c:v>
                </c:pt>
                <c:pt idx="228">
                  <c:v>1.1590277777778026</c:v>
                </c:pt>
                <c:pt idx="229">
                  <c:v>1.1597222222222472</c:v>
                </c:pt>
                <c:pt idx="230">
                  <c:v>1.1604166666666917</c:v>
                </c:pt>
                <c:pt idx="231">
                  <c:v>1.1611111111111363</c:v>
                </c:pt>
                <c:pt idx="232">
                  <c:v>1.1618055555555808</c:v>
                </c:pt>
                <c:pt idx="233">
                  <c:v>1.1625000000000254</c:v>
                </c:pt>
                <c:pt idx="234">
                  <c:v>1.16319444444447</c:v>
                </c:pt>
                <c:pt idx="235">
                  <c:v>1.1638888888889145</c:v>
                </c:pt>
                <c:pt idx="236">
                  <c:v>1.1645833333333591</c:v>
                </c:pt>
                <c:pt idx="237">
                  <c:v>1.1652777777778036</c:v>
                </c:pt>
                <c:pt idx="238">
                  <c:v>1.1659722222222482</c:v>
                </c:pt>
                <c:pt idx="239">
                  <c:v>1.1666666666666927</c:v>
                </c:pt>
                <c:pt idx="240">
                  <c:v>1.1673611111111373</c:v>
                </c:pt>
                <c:pt idx="241">
                  <c:v>1.1680555555555818</c:v>
                </c:pt>
                <c:pt idx="242">
                  <c:v>1.1687500000000264</c:v>
                </c:pt>
                <c:pt idx="243">
                  <c:v>1.1694444444444709</c:v>
                </c:pt>
                <c:pt idx="244">
                  <c:v>1.1701388888889155</c:v>
                </c:pt>
                <c:pt idx="245">
                  <c:v>1.17083333333336</c:v>
                </c:pt>
                <c:pt idx="246">
                  <c:v>1.1715277777778046</c:v>
                </c:pt>
                <c:pt idx="247">
                  <c:v>1.1722222222222491</c:v>
                </c:pt>
                <c:pt idx="248">
                  <c:v>1.1729166666666937</c:v>
                </c:pt>
                <c:pt idx="249">
                  <c:v>1.1736111111111382</c:v>
                </c:pt>
                <c:pt idx="250">
                  <c:v>1.1743055555555828</c:v>
                </c:pt>
                <c:pt idx="251">
                  <c:v>1.1750000000000274</c:v>
                </c:pt>
                <c:pt idx="252">
                  <c:v>1.1756944444444719</c:v>
                </c:pt>
                <c:pt idx="253">
                  <c:v>1.1763888888889165</c:v>
                </c:pt>
                <c:pt idx="254">
                  <c:v>1.177083333333361</c:v>
                </c:pt>
                <c:pt idx="255">
                  <c:v>1.1777777777778056</c:v>
                </c:pt>
                <c:pt idx="256">
                  <c:v>1.1784722222222501</c:v>
                </c:pt>
                <c:pt idx="257">
                  <c:v>1.1791666666666947</c:v>
                </c:pt>
                <c:pt idx="258">
                  <c:v>1.1798611111111392</c:v>
                </c:pt>
                <c:pt idx="259">
                  <c:v>1.1805555555555838</c:v>
                </c:pt>
                <c:pt idx="260">
                  <c:v>1.1812500000000283</c:v>
                </c:pt>
                <c:pt idx="261">
                  <c:v>1.1819444444444729</c:v>
                </c:pt>
                <c:pt idx="262">
                  <c:v>1.1826388888889174</c:v>
                </c:pt>
                <c:pt idx="263">
                  <c:v>1.183333333333362</c:v>
                </c:pt>
                <c:pt idx="264">
                  <c:v>1.1840277777778065</c:v>
                </c:pt>
                <c:pt idx="265">
                  <c:v>1.1847222222222511</c:v>
                </c:pt>
                <c:pt idx="266">
                  <c:v>1.1854166666666957</c:v>
                </c:pt>
                <c:pt idx="267">
                  <c:v>1.1861111111111402</c:v>
                </c:pt>
                <c:pt idx="268">
                  <c:v>1.1868055555555848</c:v>
                </c:pt>
                <c:pt idx="269">
                  <c:v>1.1875000000000293</c:v>
                </c:pt>
                <c:pt idx="270">
                  <c:v>1.1881944444444739</c:v>
                </c:pt>
                <c:pt idx="271">
                  <c:v>1.1888888888889184</c:v>
                </c:pt>
                <c:pt idx="272">
                  <c:v>1.189583333333363</c:v>
                </c:pt>
                <c:pt idx="273">
                  <c:v>1.1902777777778075</c:v>
                </c:pt>
                <c:pt idx="274">
                  <c:v>1.1909722222222521</c:v>
                </c:pt>
                <c:pt idx="275">
                  <c:v>1.1916666666666966</c:v>
                </c:pt>
                <c:pt idx="276">
                  <c:v>1.1923611111111412</c:v>
                </c:pt>
                <c:pt idx="277">
                  <c:v>1.1930555555555857</c:v>
                </c:pt>
                <c:pt idx="278">
                  <c:v>1.1937500000000303</c:v>
                </c:pt>
                <c:pt idx="279">
                  <c:v>1.1944444444444748</c:v>
                </c:pt>
                <c:pt idx="280">
                  <c:v>1.1951388888889194</c:v>
                </c:pt>
                <c:pt idx="281">
                  <c:v>1.1958333333333639</c:v>
                </c:pt>
                <c:pt idx="282">
                  <c:v>1.1965277777778085</c:v>
                </c:pt>
                <c:pt idx="283">
                  <c:v>1.1972222222222531</c:v>
                </c:pt>
                <c:pt idx="284">
                  <c:v>1.1979166666666976</c:v>
                </c:pt>
                <c:pt idx="285">
                  <c:v>1.1986111111111422</c:v>
                </c:pt>
                <c:pt idx="286">
                  <c:v>1.1993055555555867</c:v>
                </c:pt>
                <c:pt idx="287">
                  <c:v>1.2000000000000313</c:v>
                </c:pt>
                <c:pt idx="288">
                  <c:v>1.2006944444444758</c:v>
                </c:pt>
                <c:pt idx="289">
                  <c:v>1.2013888888889204</c:v>
                </c:pt>
                <c:pt idx="290">
                  <c:v>1.2020833333333649</c:v>
                </c:pt>
                <c:pt idx="291">
                  <c:v>1.2027777777778095</c:v>
                </c:pt>
                <c:pt idx="292">
                  <c:v>1.203472222222254</c:v>
                </c:pt>
                <c:pt idx="293">
                  <c:v>1.2041666666666986</c:v>
                </c:pt>
                <c:pt idx="294">
                  <c:v>1.2048611111111431</c:v>
                </c:pt>
                <c:pt idx="295">
                  <c:v>1.2055555555555877</c:v>
                </c:pt>
                <c:pt idx="296">
                  <c:v>1.2062500000000322</c:v>
                </c:pt>
                <c:pt idx="297">
                  <c:v>1.2069444444444768</c:v>
                </c:pt>
                <c:pt idx="298">
                  <c:v>1.2076388888889213</c:v>
                </c:pt>
                <c:pt idx="299">
                  <c:v>1.2083333333333659</c:v>
                </c:pt>
                <c:pt idx="300">
                  <c:v>1.2090277777778105</c:v>
                </c:pt>
                <c:pt idx="301">
                  <c:v>1.209722222222255</c:v>
                </c:pt>
                <c:pt idx="302">
                  <c:v>1.2104166666666996</c:v>
                </c:pt>
                <c:pt idx="303">
                  <c:v>1.2111111111111441</c:v>
                </c:pt>
                <c:pt idx="304">
                  <c:v>1.2118055555555887</c:v>
                </c:pt>
                <c:pt idx="305">
                  <c:v>1.2125000000000332</c:v>
                </c:pt>
                <c:pt idx="306">
                  <c:v>1.2131944444444778</c:v>
                </c:pt>
                <c:pt idx="307">
                  <c:v>1.2138888888889223</c:v>
                </c:pt>
                <c:pt idx="308">
                  <c:v>1.2145833333333669</c:v>
                </c:pt>
                <c:pt idx="309">
                  <c:v>1.2152777777778114</c:v>
                </c:pt>
                <c:pt idx="310">
                  <c:v>1.215972222222256</c:v>
                </c:pt>
                <c:pt idx="311">
                  <c:v>1.2166666666667005</c:v>
                </c:pt>
                <c:pt idx="312">
                  <c:v>1.2173611111111451</c:v>
                </c:pt>
                <c:pt idx="313">
                  <c:v>1.2180555555555896</c:v>
                </c:pt>
                <c:pt idx="314">
                  <c:v>1.2187500000000342</c:v>
                </c:pt>
                <c:pt idx="315">
                  <c:v>1.2194444444444787</c:v>
                </c:pt>
                <c:pt idx="316">
                  <c:v>1.2201388888889233</c:v>
                </c:pt>
                <c:pt idx="317">
                  <c:v>1.2208333333333679</c:v>
                </c:pt>
                <c:pt idx="318">
                  <c:v>1.2215277777778124</c:v>
                </c:pt>
                <c:pt idx="319">
                  <c:v>1.222222222222257</c:v>
                </c:pt>
                <c:pt idx="320">
                  <c:v>1.2229166666667015</c:v>
                </c:pt>
                <c:pt idx="321">
                  <c:v>1.2236111111111461</c:v>
                </c:pt>
                <c:pt idx="322">
                  <c:v>1.2243055555555906</c:v>
                </c:pt>
                <c:pt idx="323">
                  <c:v>1.2250000000000352</c:v>
                </c:pt>
                <c:pt idx="324">
                  <c:v>1.2256944444444797</c:v>
                </c:pt>
                <c:pt idx="325">
                  <c:v>1.2263888888889243</c:v>
                </c:pt>
                <c:pt idx="326">
                  <c:v>1.2270833333333688</c:v>
                </c:pt>
                <c:pt idx="327">
                  <c:v>1.2277777777778134</c:v>
                </c:pt>
                <c:pt idx="328">
                  <c:v>1.2284722222222579</c:v>
                </c:pt>
                <c:pt idx="329">
                  <c:v>1.2291666666667025</c:v>
                </c:pt>
                <c:pt idx="330">
                  <c:v>1.229861111111147</c:v>
                </c:pt>
                <c:pt idx="331">
                  <c:v>1.2305555555555916</c:v>
                </c:pt>
                <c:pt idx="332">
                  <c:v>1.2312500000000361</c:v>
                </c:pt>
                <c:pt idx="333">
                  <c:v>1.2319444444444807</c:v>
                </c:pt>
                <c:pt idx="334">
                  <c:v>1.2326388888889253</c:v>
                </c:pt>
                <c:pt idx="335">
                  <c:v>1.2333333333333698</c:v>
                </c:pt>
                <c:pt idx="336">
                  <c:v>1.2340277777778144</c:v>
                </c:pt>
                <c:pt idx="337">
                  <c:v>1.2347222222222589</c:v>
                </c:pt>
                <c:pt idx="338">
                  <c:v>1.2354166666667035</c:v>
                </c:pt>
                <c:pt idx="339">
                  <c:v>1.236111111111148</c:v>
                </c:pt>
                <c:pt idx="340">
                  <c:v>1.2368055555555926</c:v>
                </c:pt>
                <c:pt idx="341">
                  <c:v>1.2375000000000371</c:v>
                </c:pt>
                <c:pt idx="342">
                  <c:v>1.2381944444444817</c:v>
                </c:pt>
                <c:pt idx="343">
                  <c:v>1.2388888888889262</c:v>
                </c:pt>
                <c:pt idx="344">
                  <c:v>1.2395833333333708</c:v>
                </c:pt>
                <c:pt idx="345">
                  <c:v>1.2402777777778153</c:v>
                </c:pt>
                <c:pt idx="346">
                  <c:v>1.2409722222222599</c:v>
                </c:pt>
                <c:pt idx="347">
                  <c:v>1.2416666666667044</c:v>
                </c:pt>
                <c:pt idx="348">
                  <c:v>1.242361111111149</c:v>
                </c:pt>
                <c:pt idx="349">
                  <c:v>1.2430555555555935</c:v>
                </c:pt>
                <c:pt idx="350">
                  <c:v>1.2437500000000381</c:v>
                </c:pt>
                <c:pt idx="351">
                  <c:v>1.2444444444444827</c:v>
                </c:pt>
                <c:pt idx="352">
                  <c:v>1.2451388888889272</c:v>
                </c:pt>
                <c:pt idx="353">
                  <c:v>1.2458333333333718</c:v>
                </c:pt>
                <c:pt idx="354">
                  <c:v>1.2465277777778163</c:v>
                </c:pt>
                <c:pt idx="355">
                  <c:v>1.2472222222222609</c:v>
                </c:pt>
                <c:pt idx="356">
                  <c:v>1.2479166666667054</c:v>
                </c:pt>
                <c:pt idx="357">
                  <c:v>1.24861111111115</c:v>
                </c:pt>
                <c:pt idx="358">
                  <c:v>1.2493055555555945</c:v>
                </c:pt>
                <c:pt idx="359">
                  <c:v>1.2500000000000391</c:v>
                </c:pt>
                <c:pt idx="360">
                  <c:v>1.2506944444444836</c:v>
                </c:pt>
                <c:pt idx="361">
                  <c:v>1.2513888888889282</c:v>
                </c:pt>
                <c:pt idx="362">
                  <c:v>1.2520833333333727</c:v>
                </c:pt>
                <c:pt idx="363">
                  <c:v>1.2527777777778173</c:v>
                </c:pt>
                <c:pt idx="364">
                  <c:v>1.2534722222222618</c:v>
                </c:pt>
                <c:pt idx="365">
                  <c:v>1.2541666666667064</c:v>
                </c:pt>
                <c:pt idx="366">
                  <c:v>1.254861111111151</c:v>
                </c:pt>
                <c:pt idx="367">
                  <c:v>1.2555555555555955</c:v>
                </c:pt>
                <c:pt idx="368">
                  <c:v>1.2562500000000401</c:v>
                </c:pt>
                <c:pt idx="369">
                  <c:v>1.2569444444444846</c:v>
                </c:pt>
                <c:pt idx="370">
                  <c:v>1.2576388888889292</c:v>
                </c:pt>
                <c:pt idx="371">
                  <c:v>1.2583333333333737</c:v>
                </c:pt>
                <c:pt idx="372">
                  <c:v>1.2590277777778183</c:v>
                </c:pt>
                <c:pt idx="373">
                  <c:v>1.2597222222222628</c:v>
                </c:pt>
                <c:pt idx="374">
                  <c:v>1.2604166666667074</c:v>
                </c:pt>
                <c:pt idx="375">
                  <c:v>1.2611111111111519</c:v>
                </c:pt>
                <c:pt idx="376">
                  <c:v>1.2618055555555965</c:v>
                </c:pt>
                <c:pt idx="377">
                  <c:v>1.262500000000041</c:v>
                </c:pt>
                <c:pt idx="378">
                  <c:v>1.2631944444444856</c:v>
                </c:pt>
                <c:pt idx="379">
                  <c:v>1.2638888888889301</c:v>
                </c:pt>
                <c:pt idx="380">
                  <c:v>1.2645833333333747</c:v>
                </c:pt>
                <c:pt idx="381">
                  <c:v>1.2652777777778192</c:v>
                </c:pt>
                <c:pt idx="382">
                  <c:v>1.2659722222222638</c:v>
                </c:pt>
                <c:pt idx="383">
                  <c:v>1.2666666666667084</c:v>
                </c:pt>
                <c:pt idx="384">
                  <c:v>1.2673611111111529</c:v>
                </c:pt>
                <c:pt idx="385">
                  <c:v>1.2680555555555975</c:v>
                </c:pt>
                <c:pt idx="386">
                  <c:v>1.268750000000042</c:v>
                </c:pt>
                <c:pt idx="387">
                  <c:v>1.2694444444444866</c:v>
                </c:pt>
                <c:pt idx="388">
                  <c:v>1.2701388888889311</c:v>
                </c:pt>
                <c:pt idx="389">
                  <c:v>1.2708333333333757</c:v>
                </c:pt>
                <c:pt idx="390">
                  <c:v>1.2715277777778202</c:v>
                </c:pt>
                <c:pt idx="391">
                  <c:v>1.2722222222222648</c:v>
                </c:pt>
                <c:pt idx="392">
                  <c:v>1.2729166666667093</c:v>
                </c:pt>
                <c:pt idx="393">
                  <c:v>1.2736111111111539</c:v>
                </c:pt>
                <c:pt idx="394">
                  <c:v>1.2743055555555984</c:v>
                </c:pt>
                <c:pt idx="395">
                  <c:v>1.275000000000043</c:v>
                </c:pt>
                <c:pt idx="396">
                  <c:v>1.2756944444444875</c:v>
                </c:pt>
                <c:pt idx="397">
                  <c:v>1.2763888888889321</c:v>
                </c:pt>
                <c:pt idx="398">
                  <c:v>1.2770833333333766</c:v>
                </c:pt>
                <c:pt idx="399">
                  <c:v>1.2777777777778212</c:v>
                </c:pt>
                <c:pt idx="400">
                  <c:v>1.2784722222222658</c:v>
                </c:pt>
                <c:pt idx="401">
                  <c:v>1.2791666666667103</c:v>
                </c:pt>
                <c:pt idx="402">
                  <c:v>1.2798611111111549</c:v>
                </c:pt>
                <c:pt idx="403">
                  <c:v>1.2805555555555994</c:v>
                </c:pt>
                <c:pt idx="404">
                  <c:v>1.281250000000044</c:v>
                </c:pt>
                <c:pt idx="405">
                  <c:v>1.2819444444444885</c:v>
                </c:pt>
                <c:pt idx="406">
                  <c:v>1.2826388888889331</c:v>
                </c:pt>
                <c:pt idx="407">
                  <c:v>1.2833333333333776</c:v>
                </c:pt>
                <c:pt idx="408">
                  <c:v>1.2840277777778222</c:v>
                </c:pt>
                <c:pt idx="409">
                  <c:v>1.2847222222222667</c:v>
                </c:pt>
                <c:pt idx="410">
                  <c:v>1.2854166666667113</c:v>
                </c:pt>
                <c:pt idx="411">
                  <c:v>1.2861111111111558</c:v>
                </c:pt>
                <c:pt idx="412">
                  <c:v>1.2868055555556004</c:v>
                </c:pt>
                <c:pt idx="413">
                  <c:v>1.2875000000000449</c:v>
                </c:pt>
                <c:pt idx="414">
                  <c:v>1.2881944444444895</c:v>
                </c:pt>
                <c:pt idx="415">
                  <c:v>1.288888888888934</c:v>
                </c:pt>
                <c:pt idx="416">
                  <c:v>1.2895833333333786</c:v>
                </c:pt>
                <c:pt idx="417">
                  <c:v>1.2902777777778232</c:v>
                </c:pt>
                <c:pt idx="418">
                  <c:v>1.2909722222222677</c:v>
                </c:pt>
                <c:pt idx="419">
                  <c:v>1.2916666666667123</c:v>
                </c:pt>
                <c:pt idx="420">
                  <c:v>1.2923611111111568</c:v>
                </c:pt>
                <c:pt idx="421">
                  <c:v>1.2930555555556014</c:v>
                </c:pt>
                <c:pt idx="422">
                  <c:v>1.2937500000000459</c:v>
                </c:pt>
                <c:pt idx="423">
                  <c:v>1.2944444444444905</c:v>
                </c:pt>
                <c:pt idx="424">
                  <c:v>1.295138888888935</c:v>
                </c:pt>
                <c:pt idx="425">
                  <c:v>1.2958333333333796</c:v>
                </c:pt>
                <c:pt idx="426">
                  <c:v>1.2965277777778241</c:v>
                </c:pt>
                <c:pt idx="427">
                  <c:v>1.2972222222222687</c:v>
                </c:pt>
                <c:pt idx="428">
                  <c:v>1.2979166666667132</c:v>
                </c:pt>
                <c:pt idx="429">
                  <c:v>1.2986111111111578</c:v>
                </c:pt>
                <c:pt idx="430">
                  <c:v>1.2993055555556023</c:v>
                </c:pt>
                <c:pt idx="431">
                  <c:v>1.3000000000000469</c:v>
                </c:pt>
                <c:pt idx="432">
                  <c:v>1.3006944444444914</c:v>
                </c:pt>
                <c:pt idx="433">
                  <c:v>1.301388888888936</c:v>
                </c:pt>
                <c:pt idx="434">
                  <c:v>1.3020833333333806</c:v>
                </c:pt>
                <c:pt idx="435">
                  <c:v>1.3027777777778251</c:v>
                </c:pt>
                <c:pt idx="436">
                  <c:v>1.3034722222222697</c:v>
                </c:pt>
                <c:pt idx="437">
                  <c:v>1.3041666666667142</c:v>
                </c:pt>
                <c:pt idx="438">
                  <c:v>1.3048611111111588</c:v>
                </c:pt>
                <c:pt idx="439">
                  <c:v>1.3055555555556033</c:v>
                </c:pt>
                <c:pt idx="440">
                  <c:v>1.3062500000000479</c:v>
                </c:pt>
                <c:pt idx="441">
                  <c:v>1.3069444444444924</c:v>
                </c:pt>
                <c:pt idx="442">
                  <c:v>1.307638888888937</c:v>
                </c:pt>
                <c:pt idx="443">
                  <c:v>1.3083333333333815</c:v>
                </c:pt>
                <c:pt idx="444">
                  <c:v>1.3090277777778261</c:v>
                </c:pt>
                <c:pt idx="445">
                  <c:v>1.3097222222222706</c:v>
                </c:pt>
                <c:pt idx="446">
                  <c:v>1.3104166666667152</c:v>
                </c:pt>
                <c:pt idx="447">
                  <c:v>1.3111111111111597</c:v>
                </c:pt>
                <c:pt idx="448">
                  <c:v>1.3118055555556043</c:v>
                </c:pt>
                <c:pt idx="449">
                  <c:v>1.3125000000000488</c:v>
                </c:pt>
                <c:pt idx="450">
                  <c:v>1.3131944444444934</c:v>
                </c:pt>
                <c:pt idx="451">
                  <c:v>1.313888888888938</c:v>
                </c:pt>
                <c:pt idx="452">
                  <c:v>1.3145833333333825</c:v>
                </c:pt>
                <c:pt idx="453">
                  <c:v>1.3152777777778271</c:v>
                </c:pt>
                <c:pt idx="454">
                  <c:v>1.3159722222222716</c:v>
                </c:pt>
                <c:pt idx="455">
                  <c:v>1.3166666666667162</c:v>
                </c:pt>
                <c:pt idx="456">
                  <c:v>1.3173611111111607</c:v>
                </c:pt>
                <c:pt idx="457">
                  <c:v>1.3180555555556053</c:v>
                </c:pt>
                <c:pt idx="458">
                  <c:v>1.3187500000000498</c:v>
                </c:pt>
                <c:pt idx="459">
                  <c:v>1.3194444444444944</c:v>
                </c:pt>
                <c:pt idx="460">
                  <c:v>1.3201388888889389</c:v>
                </c:pt>
                <c:pt idx="461">
                  <c:v>1.3208333333333835</c:v>
                </c:pt>
                <c:pt idx="462">
                  <c:v>1.321527777777828</c:v>
                </c:pt>
                <c:pt idx="463">
                  <c:v>1.3222222222222726</c:v>
                </c:pt>
                <c:pt idx="464">
                  <c:v>1.3229166666667171</c:v>
                </c:pt>
                <c:pt idx="465">
                  <c:v>1.3236111111111617</c:v>
                </c:pt>
                <c:pt idx="466">
                  <c:v>1.3243055555556063</c:v>
                </c:pt>
                <c:pt idx="467">
                  <c:v>1.3250000000000508</c:v>
                </c:pt>
                <c:pt idx="468">
                  <c:v>1.3256944444444954</c:v>
                </c:pt>
                <c:pt idx="469">
                  <c:v>1.3263888888889399</c:v>
                </c:pt>
                <c:pt idx="470">
                  <c:v>1.3270833333333845</c:v>
                </c:pt>
                <c:pt idx="471">
                  <c:v>1.327777777777829</c:v>
                </c:pt>
                <c:pt idx="472">
                  <c:v>1.3284722222222736</c:v>
                </c:pt>
                <c:pt idx="473">
                  <c:v>1.3291666666667181</c:v>
                </c:pt>
                <c:pt idx="474">
                  <c:v>1.3298611111111627</c:v>
                </c:pt>
                <c:pt idx="475">
                  <c:v>1.3305555555556072</c:v>
                </c:pt>
                <c:pt idx="476">
                  <c:v>1.3312500000000518</c:v>
                </c:pt>
                <c:pt idx="477">
                  <c:v>1.3319444444444963</c:v>
                </c:pt>
                <c:pt idx="478">
                  <c:v>1.3326388888889409</c:v>
                </c:pt>
                <c:pt idx="479">
                  <c:v>1.3333333333333854</c:v>
                </c:pt>
              </c:numCache>
            </c:numRef>
          </c:cat>
          <c:val>
            <c:numRef>
              <c:f>'Uurlijkse calc'!$AA$3:$AA$482</c:f>
              <c:numCache>
                <c:formatCode>0.0</c:formatCode>
                <c:ptCount val="480"/>
                <c:pt idx="0">
                  <c:v>404.43799544426412</c:v>
                </c:pt>
                <c:pt idx="1">
                  <c:v>402.33455416860755</c:v>
                </c:pt>
                <c:pt idx="2">
                  <c:v>400.24950140225883</c:v>
                </c:pt>
                <c:pt idx="3">
                  <c:v>398.18266422709439</c:v>
                </c:pt>
                <c:pt idx="4">
                  <c:v>396.13387155456547</c:v>
                </c:pt>
                <c:pt idx="5">
                  <c:v>394.10295410296766</c:v>
                </c:pt>
                <c:pt idx="6">
                  <c:v>392.0897443750481</c:v>
                </c:pt>
                <c:pt idx="7">
                  <c:v>390.09407663594379</c:v>
                </c:pt>
                <c:pt idx="8">
                  <c:v>388.11578689144551</c:v>
                </c:pt>
                <c:pt idx="9">
                  <c:v>386.15471286658146</c:v>
                </c:pt>
                <c:pt idx="10">
                  <c:v>384.21069398451561</c:v>
                </c:pt>
                <c:pt idx="11">
                  <c:v>382.28357134575447</c:v>
                </c:pt>
                <c:pt idx="12">
                  <c:v>380.37318770765791</c:v>
                </c:pt>
                <c:pt idx="13">
                  <c:v>378.47938746424802</c:v>
                </c:pt>
                <c:pt idx="14">
                  <c:v>376.60201662631141</c:v>
                </c:pt>
                <c:pt idx="15">
                  <c:v>374.74092280178968</c:v>
                </c:pt>
                <c:pt idx="16">
                  <c:v>372.89595517645313</c:v>
                </c:pt>
                <c:pt idx="17">
                  <c:v>371.06696449485321</c:v>
                </c:pt>
                <c:pt idx="18">
                  <c:v>369.25380304154839</c:v>
                </c:pt>
                <c:pt idx="19">
                  <c:v>367.45632462259954</c:v>
                </c:pt>
                <c:pt idx="20">
                  <c:v>365.67438454732951</c:v>
                </c:pt>
                <c:pt idx="21">
                  <c:v>363.90783961034322</c:v>
                </c:pt>
                <c:pt idx="22">
                  <c:v>362.15654807380326</c:v>
                </c:pt>
                <c:pt idx="23">
                  <c:v>360.42036964995714</c:v>
                </c:pt>
                <c:pt idx="24">
                  <c:v>358.69916548391166</c:v>
                </c:pt>
                <c:pt idx="25">
                  <c:v>356.99279813665044</c:v>
                </c:pt>
                <c:pt idx="26">
                  <c:v>355.30113156829071</c:v>
                </c:pt>
                <c:pt idx="27">
                  <c:v>353.62403112157517</c:v>
                </c:pt>
                <c:pt idx="28">
                  <c:v>351.96136350559499</c:v>
                </c:pt>
                <c:pt idx="29">
                  <c:v>350.31299677974044</c:v>
                </c:pt>
                <c:pt idx="30">
                  <c:v>348.67880033787497</c:v>
                </c:pt>
                <c:pt idx="31">
                  <c:v>347.05864489272955</c:v>
                </c:pt>
                <c:pt idx="32">
                  <c:v>345.45240246051327</c:v>
                </c:pt>
                <c:pt idx="33">
                  <c:v>343.85994634573683</c:v>
                </c:pt>
                <c:pt idx="34">
                  <c:v>342.28115112624545</c:v>
                </c:pt>
                <c:pt idx="35">
                  <c:v>340.71589263845794</c:v>
                </c:pt>
                <c:pt idx="36">
                  <c:v>339.16404796280801</c:v>
                </c:pt>
                <c:pt idx="37">
                  <c:v>337.62549540938551</c:v>
                </c:pt>
                <c:pt idx="38">
                  <c:v>336.10011450377328</c:v>
                </c:pt>
                <c:pt idx="39">
                  <c:v>334.58778597307747</c:v>
                </c:pt>
                <c:pt idx="40">
                  <c:v>332.83062440398669</c:v>
                </c:pt>
                <c:pt idx="41">
                  <c:v>331.0886299180271</c:v>
                </c:pt>
                <c:pt idx="42">
                  <c:v>329.36166310934851</c:v>
                </c:pt>
                <c:pt idx="43">
                  <c:v>327.64958599450313</c:v>
                </c:pt>
                <c:pt idx="44">
                  <c:v>325.95226199561046</c:v>
                </c:pt>
                <c:pt idx="45">
                  <c:v>324.26955592375867</c:v>
                </c:pt>
                <c:pt idx="46">
                  <c:v>322.60133396263916</c:v>
                </c:pt>
                <c:pt idx="47">
                  <c:v>320.94746365240951</c:v>
                </c:pt>
                <c:pt idx="48">
                  <c:v>319.30781387378198</c:v>
                </c:pt>
                <c:pt idx="49">
                  <c:v>317.68225483233323</c:v>
                </c:pt>
                <c:pt idx="50">
                  <c:v>316.0706580430317</c:v>
                </c:pt>
                <c:pt idx="51">
                  <c:v>314.47289631497966</c:v>
                </c:pt>
                <c:pt idx="52">
                  <c:v>312.88884373636552</c:v>
                </c:pt>
                <c:pt idx="53">
                  <c:v>311.31837565962365</c:v>
                </c:pt>
                <c:pt idx="54">
                  <c:v>309.76136868679828</c:v>
                </c:pt>
                <c:pt idx="55">
                  <c:v>308.21770065510765</c:v>
                </c:pt>
                <c:pt idx="56">
                  <c:v>306.68725062270613</c:v>
                </c:pt>
                <c:pt idx="57">
                  <c:v>305.16989885463988</c:v>
                </c:pt>
                <c:pt idx="58">
                  <c:v>303.66552680899423</c:v>
                </c:pt>
                <c:pt idx="59">
                  <c:v>302.17401712322862</c:v>
                </c:pt>
                <c:pt idx="60">
                  <c:v>300.6952536006969</c:v>
                </c:pt>
                <c:pt idx="61">
                  <c:v>299.2291211973494</c:v>
                </c:pt>
                <c:pt idx="62">
                  <c:v>297.7755060086144</c:v>
                </c:pt>
                <c:pt idx="63">
                  <c:v>296.33429525645579</c:v>
                </c:pt>
                <c:pt idx="64">
                  <c:v>294.9053772766045</c:v>
                </c:pt>
                <c:pt idx="65">
                  <c:v>293.48864150596023</c:v>
                </c:pt>
                <c:pt idx="66">
                  <c:v>292.08397847016192</c:v>
                </c:pt>
                <c:pt idx="67">
                  <c:v>290.69127977132308</c:v>
                </c:pt>
                <c:pt idx="68">
                  <c:v>289.31043807593034</c:v>
                </c:pt>
                <c:pt idx="69">
                  <c:v>287.94134710290228</c:v>
                </c:pt>
                <c:pt idx="70">
                  <c:v>286.58390161180591</c:v>
                </c:pt>
                <c:pt idx="71">
                  <c:v>285.23799739122865</c:v>
                </c:pt>
                <c:pt idx="72">
                  <c:v>283.90353124730314</c:v>
                </c:pt>
                <c:pt idx="73">
                  <c:v>282.58040099238269</c:v>
                </c:pt>
                <c:pt idx="74">
                  <c:v>281.26850543386513</c:v>
                </c:pt>
                <c:pt idx="75">
                  <c:v>279.96774436316207</c:v>
                </c:pt>
                <c:pt idx="76">
                  <c:v>278.67801854481263</c:v>
                </c:pt>
                <c:pt idx="77">
                  <c:v>277.39922970573798</c:v>
                </c:pt>
                <c:pt idx="78">
                  <c:v>276.13128052463571</c:v>
                </c:pt>
                <c:pt idx="79">
                  <c:v>274.87407462151111</c:v>
                </c:pt>
                <c:pt idx="80">
                  <c:v>273.37223236686469</c:v>
                </c:pt>
                <c:pt idx="81">
                  <c:v>271.88322961010647</c:v>
                </c:pt>
                <c:pt idx="82">
                  <c:v>270.40695038150159</c:v>
                </c:pt>
                <c:pt idx="83">
                  <c:v>268.94327986132691</c:v>
                </c:pt>
                <c:pt idx="84">
                  <c:v>267.49210436678732</c:v>
                </c:pt>
                <c:pt idx="85">
                  <c:v>266.05331133910738</c:v>
                </c:pt>
                <c:pt idx="86">
                  <c:v>264.6267893307965</c:v>
                </c:pt>
                <c:pt idx="87">
                  <c:v>263.21242799308402</c:v>
                </c:pt>
                <c:pt idx="88">
                  <c:v>261.81011806352205</c:v>
                </c:pt>
                <c:pt idx="89">
                  <c:v>260.41975135375304</c:v>
                </c:pt>
                <c:pt idx="90">
                  <c:v>259.04122073744003</c:v>
                </c:pt>
                <c:pt idx="91">
                  <c:v>257.67442013835642</c:v>
                </c:pt>
                <c:pt idx="92">
                  <c:v>256.31924451863318</c:v>
                </c:pt>
                <c:pt idx="93">
                  <c:v>254.97558986716103</c:v>
                </c:pt>
                <c:pt idx="94">
                  <c:v>253.64335318814486</c:v>
                </c:pt>
                <c:pt idx="95">
                  <c:v>252.32243248980848</c:v>
                </c:pt>
                <c:pt idx="96">
                  <c:v>251.01272677324712</c:v>
                </c:pt>
                <c:pt idx="97">
                  <c:v>249.71413602142528</c:v>
                </c:pt>
                <c:pt idx="98">
                  <c:v>248.42656118831803</c:v>
                </c:pt>
                <c:pt idx="99">
                  <c:v>247.14990418819337</c:v>
                </c:pt>
                <c:pt idx="100">
                  <c:v>245.8840678850334</c:v>
                </c:pt>
                <c:pt idx="101">
                  <c:v>244.62895608209232</c:v>
                </c:pt>
                <c:pt idx="102">
                  <c:v>243.38447351158925</c:v>
                </c:pt>
                <c:pt idx="103">
                  <c:v>242.15052582453356</c:v>
                </c:pt>
                <c:pt idx="104">
                  <c:v>240.92701958068099</c:v>
                </c:pt>
                <c:pt idx="105">
                  <c:v>239.71386223861833</c:v>
                </c:pt>
                <c:pt idx="106">
                  <c:v>238.51096214597493</c:v>
                </c:pt>
                <c:pt idx="107">
                  <c:v>237.31822852975895</c:v>
                </c:pt>
                <c:pt idx="108">
                  <c:v>236.13557148681667</c:v>
                </c:pt>
                <c:pt idx="109">
                  <c:v>234.9629019744128</c:v>
                </c:pt>
                <c:pt idx="110">
                  <c:v>233.80013180093019</c:v>
                </c:pt>
                <c:pt idx="111">
                  <c:v>232.64717361668696</c:v>
                </c:pt>
                <c:pt idx="112">
                  <c:v>231.50394090486955</c:v>
                </c:pt>
                <c:pt idx="113">
                  <c:v>230.37034797257965</c:v>
                </c:pt>
                <c:pt idx="114">
                  <c:v>229.24630994199367</c:v>
                </c:pt>
                <c:pt idx="115">
                  <c:v>228.13174274163276</c:v>
                </c:pt>
                <c:pt idx="116">
                  <c:v>227.02656309774204</c:v>
                </c:pt>
                <c:pt idx="117">
                  <c:v>225.93068852577721</c:v>
                </c:pt>
                <c:pt idx="118">
                  <c:v>224.84403732199718</c:v>
                </c:pt>
                <c:pt idx="119">
                  <c:v>223.76652855516079</c:v>
                </c:pt>
                <c:pt idx="120">
                  <c:v>222.44456181616766</c:v>
                </c:pt>
                <c:pt idx="121">
                  <c:v>221.13381939179331</c:v>
                </c:pt>
                <c:pt idx="122">
                  <c:v>219.83420117432809</c:v>
                </c:pt>
                <c:pt idx="123">
                  <c:v>218.54560802807478</c:v>
                </c:pt>
                <c:pt idx="124">
                  <c:v>217.267941778618</c:v>
                </c:pt>
                <c:pt idx="125">
                  <c:v>216.00110520223254</c:v>
                </c:pt>
                <c:pt idx="126">
                  <c:v>214.74500201542881</c:v>
                </c:pt>
                <c:pt idx="127">
                  <c:v>213.49953686463317</c:v>
                </c:pt>
                <c:pt idx="128">
                  <c:v>212.26461531600111</c:v>
                </c:pt>
                <c:pt idx="129">
                  <c:v>211.04014384536126</c:v>
                </c:pt>
                <c:pt idx="130">
                  <c:v>209.8260298282882</c:v>
                </c:pt>
                <c:pt idx="131">
                  <c:v>208.62218153030238</c:v>
                </c:pt>
                <c:pt idx="132">
                  <c:v>207.42850809719477</c:v>
                </c:pt>
                <c:pt idx="133">
                  <c:v>206.24491954547486</c:v>
                </c:pt>
                <c:pt idx="134">
                  <c:v>205.07132675293985</c:v>
                </c:pt>
                <c:pt idx="135">
                  <c:v>203.90764144936333</c:v>
                </c:pt>
                <c:pt idx="136">
                  <c:v>202.75377620730151</c:v>
                </c:pt>
                <c:pt idx="137">
                  <c:v>201.60964443301575</c:v>
                </c:pt>
                <c:pt idx="138">
                  <c:v>200.47516035750883</c:v>
                </c:pt>
                <c:pt idx="139">
                  <c:v>199.35023902767412</c:v>
                </c:pt>
                <c:pt idx="140">
                  <c:v>198.23479629755542</c:v>
                </c:pt>
                <c:pt idx="141">
                  <c:v>197.12874881971607</c:v>
                </c:pt>
                <c:pt idx="142">
                  <c:v>196.03201403671574</c:v>
                </c:pt>
                <c:pt idx="143">
                  <c:v>194.94451017269313</c:v>
                </c:pt>
                <c:pt idx="144">
                  <c:v>193.86615622505332</c:v>
                </c:pt>
                <c:pt idx="145">
                  <c:v>192.79687195625797</c:v>
                </c:pt>
                <c:pt idx="146">
                  <c:v>191.736577885717</c:v>
                </c:pt>
                <c:pt idx="147">
                  <c:v>190.6851952817803</c:v>
                </c:pt>
                <c:pt idx="148">
                  <c:v>189.64264615382797</c:v>
                </c:pt>
                <c:pt idx="149">
                  <c:v>188.60885324445761</c:v>
                </c:pt>
                <c:pt idx="150">
                  <c:v>187.58374002176743</c:v>
                </c:pt>
                <c:pt idx="151">
                  <c:v>186.5672306717336</c:v>
                </c:pt>
                <c:pt idx="152">
                  <c:v>185.55925009068062</c:v>
                </c:pt>
                <c:pt idx="153">
                  <c:v>184.55972387784334</c:v>
                </c:pt>
                <c:pt idx="154">
                  <c:v>183.56857832801927</c:v>
                </c:pt>
                <c:pt idx="155">
                  <c:v>182.58574042431002</c:v>
                </c:pt>
                <c:pt idx="156">
                  <c:v>181.61113783095041</c:v>
                </c:pt>
                <c:pt idx="157">
                  <c:v>180.64469888622421</c:v>
                </c:pt>
                <c:pt idx="158">
                  <c:v>179.68635259546508</c:v>
                </c:pt>
                <c:pt idx="159">
                  <c:v>178.73602862414174</c:v>
                </c:pt>
                <c:pt idx="160">
                  <c:v>177.54139313399932</c:v>
                </c:pt>
                <c:pt idx="161">
                  <c:v>176.35685103055121</c:v>
                </c:pt>
                <c:pt idx="162">
                  <c:v>175.18231311023135</c:v>
                </c:pt>
                <c:pt idx="163">
                  <c:v>174.01769102232893</c:v>
                </c:pt>
                <c:pt idx="164">
                  <c:v>172.86289725978364</c:v>
                </c:pt>
                <c:pt idx="165">
                  <c:v>171.71784515009702</c:v>
                </c:pt>
                <c:pt idx="166">
                  <c:v>170.5824488463582</c:v>
                </c:pt>
                <c:pt idx="167">
                  <c:v>169.45662331838236</c:v>
                </c:pt>
                <c:pt idx="168">
                  <c:v>168.34028434396009</c:v>
                </c:pt>
                <c:pt idx="169">
                  <c:v>167.23334850021627</c:v>
                </c:pt>
                <c:pt idx="170">
                  <c:v>166.13573315507662</c:v>
                </c:pt>
                <c:pt idx="171">
                  <c:v>165.04735645884054</c:v>
                </c:pt>
                <c:pt idx="172">
                  <c:v>163.96813733585842</c:v>
                </c:pt>
                <c:pt idx="173">
                  <c:v>162.89799547631227</c:v>
                </c:pt>
                <c:pt idx="174">
                  <c:v>161.83685132809782</c:v>
                </c:pt>
                <c:pt idx="175">
                  <c:v>160.78462608880676</c:v>
                </c:pt>
                <c:pt idx="176">
                  <c:v>159.74124169780765</c:v>
                </c:pt>
                <c:pt idx="177">
                  <c:v>158.70662082842418</c:v>
                </c:pt>
                <c:pt idx="178">
                  <c:v>157.68068688020912</c:v>
                </c:pt>
                <c:pt idx="179">
                  <c:v>156.66336397131283</c:v>
                </c:pt>
                <c:pt idx="180">
                  <c:v>155.65457693094487</c:v>
                </c:pt>
                <c:pt idx="181">
                  <c:v>154.65425129192735</c:v>
                </c:pt>
                <c:pt idx="182">
                  <c:v>153.66231328333879</c:v>
                </c:pt>
                <c:pt idx="183">
                  <c:v>152.67868982324703</c:v>
                </c:pt>
                <c:pt idx="184">
                  <c:v>151.70330851153014</c:v>
                </c:pt>
                <c:pt idx="185">
                  <c:v>150.73609762278403</c:v>
                </c:pt>
                <c:pt idx="186">
                  <c:v>149.77698609931534</c:v>
                </c:pt>
                <c:pt idx="187">
                  <c:v>148.82590354421856</c:v>
                </c:pt>
                <c:pt idx="188">
                  <c:v>147.88278021453633</c:v>
                </c:pt>
                <c:pt idx="189">
                  <c:v>146.94754701450134</c:v>
                </c:pt>
                <c:pt idx="190">
                  <c:v>146.02013548885924</c:v>
                </c:pt>
                <c:pt idx="191">
                  <c:v>145.10047781627085</c:v>
                </c:pt>
                <c:pt idx="192">
                  <c:v>144.18850680279294</c:v>
                </c:pt>
                <c:pt idx="193">
                  <c:v>143.28415587543643</c:v>
                </c:pt>
                <c:pt idx="194">
                  <c:v>142.38735907580079</c:v>
                </c:pt>
                <c:pt idx="195">
                  <c:v>141.49805105378371</c:v>
                </c:pt>
                <c:pt idx="196">
                  <c:v>140.61616706136496</c:v>
                </c:pt>
                <c:pt idx="197">
                  <c:v>139.74164294646337</c:v>
                </c:pt>
                <c:pt idx="198">
                  <c:v>138.87441514686608</c:v>
                </c:pt>
                <c:pt idx="199">
                  <c:v>138.01442068422875</c:v>
                </c:pt>
                <c:pt idx="200">
                  <c:v>136.91022899608922</c:v>
                </c:pt>
                <c:pt idx="201">
                  <c:v>135.81533370242278</c:v>
                </c:pt>
                <c:pt idx="202">
                  <c:v>134.72965318157577</c:v>
                </c:pt>
                <c:pt idx="203">
                  <c:v>133.65310658352249</c:v>
                </c:pt>
                <c:pt idx="204">
                  <c:v>132.58561382167574</c:v>
                </c:pt>
                <c:pt idx="205">
                  <c:v>131.52709556479843</c:v>
                </c:pt>
                <c:pt idx="206">
                  <c:v>130.47747322901498</c:v>
                </c:pt>
                <c:pt idx="207">
                  <c:v>129.43666896992096</c:v>
                </c:pt>
                <c:pt idx="208">
                  <c:v>128.40460567478948</c:v>
                </c:pt>
                <c:pt idx="209">
                  <c:v>127.38120695487318</c:v>
                </c:pt>
                <c:pt idx="210">
                  <c:v>126.36639713780011</c:v>
                </c:pt>
                <c:pt idx="211">
                  <c:v>125.36010126006242</c:v>
                </c:pt>
                <c:pt idx="212">
                  <c:v>124.36224505959642</c:v>
                </c:pt>
                <c:pt idx="213">
                  <c:v>123.37275496845268</c:v>
                </c:pt>
                <c:pt idx="214">
                  <c:v>122.39155810555499</c:v>
                </c:pt>
                <c:pt idx="215">
                  <c:v>121.41858226954675</c:v>
                </c:pt>
                <c:pt idx="216">
                  <c:v>120.45375593172373</c:v>
                </c:pt>
                <c:pt idx="217">
                  <c:v>119.4970082290519</c:v>
                </c:pt>
                <c:pt idx="218">
                  <c:v>118.548268957269</c:v>
                </c:pt>
                <c:pt idx="219">
                  <c:v>117.60746856406895</c:v>
                </c:pt>
                <c:pt idx="220">
                  <c:v>116.67453814236767</c:v>
                </c:pt>
                <c:pt idx="221">
                  <c:v>115.74940942364927</c:v>
                </c:pt>
                <c:pt idx="222">
                  <c:v>114.83201477139157</c:v>
                </c:pt>
                <c:pt idx="223">
                  <c:v>113.92228717456966</c:v>
                </c:pt>
                <c:pt idx="224">
                  <c:v>113.02016024123655</c:v>
                </c:pt>
                <c:pt idx="225">
                  <c:v>112.12556819217983</c:v>
                </c:pt>
                <c:pt idx="226">
                  <c:v>111.23844585465314</c:v>
                </c:pt>
                <c:pt idx="227">
                  <c:v>110.3587286561817</c:v>
                </c:pt>
                <c:pt idx="228">
                  <c:v>109.48635261844053</c:v>
                </c:pt>
                <c:pt idx="229">
                  <c:v>108.62125435120464</c:v>
                </c:pt>
                <c:pt idx="230">
                  <c:v>107.76337104637003</c:v>
                </c:pt>
                <c:pt idx="231">
                  <c:v>106.91264047204459</c:v>
                </c:pt>
                <c:pt idx="232">
                  <c:v>106.069000966708</c:v>
                </c:pt>
                <c:pt idx="233">
                  <c:v>105.2323914334396</c:v>
                </c:pt>
                <c:pt idx="234">
                  <c:v>104.40275133421322</c:v>
                </c:pt>
                <c:pt idx="235">
                  <c:v>103.58002068425837</c:v>
                </c:pt>
                <c:pt idx="236">
                  <c:v>102.76414004648655</c:v>
                </c:pt>
                <c:pt idx="237">
                  <c:v>101.9550505259819</c:v>
                </c:pt>
                <c:pt idx="238">
                  <c:v>101.15269376455556</c:v>
                </c:pt>
                <c:pt idx="239">
                  <c:v>100.35701193536244</c:v>
                </c:pt>
                <c:pt idx="240">
                  <c:v>99.317219498168711</c:v>
                </c:pt>
                <c:pt idx="241">
                  <c:v>98.286159179926713</c:v>
                </c:pt>
                <c:pt idx="242">
                  <c:v>97.263754674878925</c:v>
                </c:pt>
                <c:pt idx="243">
                  <c:v>96.249930392772427</c:v>
                </c:pt>
                <c:pt idx="244">
                  <c:v>95.244611451358196</c:v>
                </c:pt>
                <c:pt idx="245">
                  <c:v>94.247723668981578</c:v>
                </c:pt>
                <c:pt idx="246">
                  <c:v>93.259193557262762</c:v>
                </c:pt>
                <c:pt idx="247">
                  <c:v>92.278948313865811</c:v>
                </c:pt>
                <c:pt idx="248">
                  <c:v>91.30691581535514</c:v>
                </c:pt>
                <c:pt idx="249">
                  <c:v>90.343024610138102</c:v>
                </c:pt>
                <c:pt idx="250">
                  <c:v>89.387203911492549</c:v>
                </c:pt>
                <c:pt idx="251">
                  <c:v>88.439383590678048</c:v>
                </c:pt>
                <c:pt idx="252">
                  <c:v>87.499494170129665</c:v>
                </c:pt>
                <c:pt idx="253">
                  <c:v>86.567466816733159</c:v>
                </c:pt>
                <c:pt idx="254">
                  <c:v>85.643233335180398</c:v>
                </c:pt>
                <c:pt idx="255">
                  <c:v>84.726726161403874</c:v>
                </c:pt>
                <c:pt idx="256">
                  <c:v>83.817878356089238</c:v>
                </c:pt>
                <c:pt idx="257">
                  <c:v>82.916623598264792</c:v>
                </c:pt>
                <c:pt idx="258">
                  <c:v>82.022896178966775</c:v>
                </c:pt>
                <c:pt idx="259">
                  <c:v>81.136630994979498</c:v>
                </c:pt>
                <c:pt idx="260">
                  <c:v>80.257763542649229</c:v>
                </c:pt>
                <c:pt idx="261">
                  <c:v>79.386229911770812</c:v>
                </c:pt>
                <c:pt idx="262">
                  <c:v>78.521966779546034</c:v>
                </c:pt>
                <c:pt idx="263">
                  <c:v>77.664911404612781</c:v>
                </c:pt>
                <c:pt idx="264">
                  <c:v>76.815001621143935</c:v>
                </c:pt>
                <c:pt idx="265">
                  <c:v>75.972175833015143</c:v>
                </c:pt>
                <c:pt idx="266">
                  <c:v>75.136373008040408</c:v>
                </c:pt>
                <c:pt idx="267">
                  <c:v>74.307532672274732</c:v>
                </c:pt>
                <c:pt idx="268">
                  <c:v>73.485594904382751</c:v>
                </c:pt>
                <c:pt idx="269">
                  <c:v>72.670500330072556</c:v>
                </c:pt>
                <c:pt idx="270">
                  <c:v>71.862190116593766</c:v>
                </c:pt>
                <c:pt idx="271">
                  <c:v>71.06060596729904</c:v>
                </c:pt>
                <c:pt idx="272">
                  <c:v>70.265690116268104</c:v>
                </c:pt>
                <c:pt idx="273">
                  <c:v>69.477385322993513</c:v>
                </c:pt>
                <c:pt idx="274">
                  <c:v>68.695634867127296</c:v>
                </c:pt>
                <c:pt idx="275">
                  <c:v>67.920382543287644</c:v>
                </c:pt>
                <c:pt idx="276">
                  <c:v>67.151572655924895</c:v>
                </c:pt>
                <c:pt idx="277">
                  <c:v>66.389150014245942</c:v>
                </c:pt>
                <c:pt idx="278">
                  <c:v>65.633059927196413</c:v>
                </c:pt>
                <c:pt idx="279">
                  <c:v>64.8832481984997</c:v>
                </c:pt>
                <c:pt idx="280">
                  <c:v>63.889390319770271</c:v>
                </c:pt>
                <c:pt idx="281">
                  <c:v>62.903863713455756</c:v>
                </c:pt>
                <c:pt idx="282">
                  <c:v>61.92659582347563</c:v>
                </c:pt>
                <c:pt idx="283">
                  <c:v>60.957514770088466</c:v>
                </c:pt>
                <c:pt idx="284">
                  <c:v>59.99654934286535</c:v>
                </c:pt>
                <c:pt idx="285">
                  <c:v>59.043628993747838</c:v>
                </c:pt>
                <c:pt idx="286">
                  <c:v>58.098683830189159</c:v>
                </c:pt>
                <c:pt idx="287">
                  <c:v>57.161644608377578</c:v>
                </c:pt>
                <c:pt idx="288">
                  <c:v>56.232442726540697</c:v>
                </c:pt>
                <c:pt idx="289">
                  <c:v>55.311010218329599</c:v>
                </c:pt>
                <c:pt idx="290">
                  <c:v>54.397279746281711</c:v>
                </c:pt>
                <c:pt idx="291">
                  <c:v>53.491184595361275</c:v>
                </c:pt>
                <c:pt idx="292">
                  <c:v>52.592658666576355</c:v>
                </c:pt>
                <c:pt idx="293">
                  <c:v>51.701636470671325</c:v>
                </c:pt>
                <c:pt idx="294">
                  <c:v>50.818053121893762</c:v>
                </c:pt>
                <c:pt idx="295">
                  <c:v>49.941844331834751</c:v>
                </c:pt>
                <c:pt idx="296">
                  <c:v>49.072946403341568</c:v>
                </c:pt>
                <c:pt idx="297">
                  <c:v>48.211296224501751</c:v>
                </c:pt>
                <c:pt idx="298">
                  <c:v>47.356831262697554</c:v>
                </c:pt>
                <c:pt idx="299">
                  <c:v>46.509489558729875</c:v>
                </c:pt>
                <c:pt idx="300">
                  <c:v>45.669209721010638</c:v>
                </c:pt>
                <c:pt idx="301">
                  <c:v>44.835930919822751</c:v>
                </c:pt>
                <c:pt idx="302">
                  <c:v>44.009592881646689</c:v>
                </c:pt>
                <c:pt idx="303">
                  <c:v>43.19013588355282</c:v>
                </c:pt>
                <c:pt idx="304">
                  <c:v>42.37750074765853</c:v>
                </c:pt>
                <c:pt idx="305">
                  <c:v>41.571628835649349</c:v>
                </c:pt>
                <c:pt idx="306">
                  <c:v>40.772462043363149</c:v>
                </c:pt>
                <c:pt idx="307">
                  <c:v>39.9799427954366</c:v>
                </c:pt>
                <c:pt idx="308">
                  <c:v>39.194014040013023</c:v>
                </c:pt>
                <c:pt idx="309">
                  <c:v>38.414619243510842</c:v>
                </c:pt>
                <c:pt idx="310">
                  <c:v>37.641702385451794</c:v>
                </c:pt>
                <c:pt idx="311">
                  <c:v>36.875207953348138</c:v>
                </c:pt>
                <c:pt idx="312">
                  <c:v>36.115080937648045</c:v>
                </c:pt>
                <c:pt idx="313">
                  <c:v>35.36126682673838</c:v>
                </c:pt>
                <c:pt idx="314">
                  <c:v>34.61371160200418</c:v>
                </c:pt>
                <c:pt idx="315">
                  <c:v>33.872361732944022</c:v>
                </c:pt>
                <c:pt idx="316">
                  <c:v>33.13716417234054</c:v>
                </c:pt>
                <c:pt idx="317">
                  <c:v>32.408066351485409</c:v>
                </c:pt>
                <c:pt idx="318">
                  <c:v>31.685016175458035</c:v>
                </c:pt>
                <c:pt idx="319">
                  <c:v>30.967962018457261</c:v>
                </c:pt>
                <c:pt idx="320">
                  <c:v>30.006909114088646</c:v>
                </c:pt>
                <c:pt idx="321">
                  <c:v>29.053902048024657</c:v>
                </c:pt>
                <c:pt idx="322">
                  <c:v>28.108870920658688</c:v>
                </c:pt>
                <c:pt idx="323">
                  <c:v>27.171746481192091</c:v>
                </c:pt>
                <c:pt idx="324">
                  <c:v>26.242460120937604</c:v>
                </c:pt>
                <c:pt idx="325">
                  <c:v>25.320943866702649</c:v>
                </c:pt>
                <c:pt idx="326">
                  <c:v>24.407130374251345</c:v>
                </c:pt>
                <c:pt idx="327">
                  <c:v>23.500952921844132</c:v>
                </c:pt>
                <c:pt idx="328">
                  <c:v>22.602345403853978</c:v>
                </c:pt>
                <c:pt idx="329">
                  <c:v>21.711242324458031</c:v>
                </c:pt>
                <c:pt idx="330">
                  <c:v>20.827578791403731</c:v>
                </c:pt>
                <c:pt idx="331">
                  <c:v>19.95129050984832</c:v>
                </c:pt>
                <c:pt idx="332">
                  <c:v>19.082313776270745</c:v>
                </c:pt>
                <c:pt idx="333">
                  <c:v>18.220585472454953</c:v>
                </c:pt>
                <c:pt idx="334">
                  <c:v>17.36604305954361</c:v>
                </c:pt>
                <c:pt idx="335">
                  <c:v>16.518624572161258</c:v>
                </c:pt>
                <c:pt idx="336">
                  <c:v>15.678268612605979</c:v>
                </c:pt>
                <c:pt idx="337">
                  <c:v>14.844914345108622</c:v>
                </c:pt>
                <c:pt idx="338">
                  <c:v>14.018501490158664</c:v>
                </c:pt>
                <c:pt idx="339">
                  <c:v>13.198970318895825</c:v>
                </c:pt>
                <c:pt idx="340">
                  <c:v>12.386261647566513</c:v>
                </c:pt>
                <c:pt idx="341">
                  <c:v>11.580316832044254</c:v>
                </c:pt>
                <c:pt idx="342">
                  <c:v>10.781077762413204</c:v>
                </c:pt>
                <c:pt idx="343">
                  <c:v>9.9884868576139443</c:v>
                </c:pt>
                <c:pt idx="344">
                  <c:v>9.2024870601506699</c:v>
                </c:pt>
                <c:pt idx="345">
                  <c:v>8.4230218308589926</c:v>
                </c:pt>
                <c:pt idx="346">
                  <c:v>7.6500351437335139</c:v>
                </c:pt>
                <c:pt idx="347">
                  <c:v>6.8834714808143866</c:v>
                </c:pt>
                <c:pt idx="348">
                  <c:v>6.123275827132078</c:v>
                </c:pt>
                <c:pt idx="349">
                  <c:v>5.3693936657095556</c:v>
                </c:pt>
                <c:pt idx="350">
                  <c:v>4.6217709726211389</c:v>
                </c:pt>
                <c:pt idx="351">
                  <c:v>3.8803542121072621</c:v>
                </c:pt>
                <c:pt idx="352">
                  <c:v>3.1450903317444139</c:v>
                </c:pt>
                <c:pt idx="353">
                  <c:v>2.4159267576695216</c:v>
                </c:pt>
                <c:pt idx="354">
                  <c:v>1.6928113898580699</c:v>
                </c:pt>
                <c:pt idx="355">
                  <c:v>0.97569259745524195</c:v>
                </c:pt>
                <c:pt idx="356">
                  <c:v>0.26451921415939839</c:v>
                </c:pt>
                <c:pt idx="357">
                  <c:v>-0.44075946634280527</c:v>
                </c:pt>
                <c:pt idx="358">
                  <c:v>-1.1401936948903157</c:v>
                </c:pt>
                <c:pt idx="359">
                  <c:v>-1.833833271311279</c:v>
                </c:pt>
                <c:pt idx="360">
                  <c:v>-2.7714370104638788</c:v>
                </c:pt>
                <c:pt idx="361">
                  <c:v>-3.7011985125363518</c:v>
                </c:pt>
                <c:pt idx="362">
                  <c:v>-4.6231857892151362</c:v>
                </c:pt>
                <c:pt idx="363">
                  <c:v>-5.5374662228342499</c:v>
                </c:pt>
                <c:pt idx="364">
                  <c:v>-6.4441065728403473</c:v>
                </c:pt>
                <c:pt idx="365">
                  <c:v>-7.3431729821811595</c:v>
                </c:pt>
                <c:pt idx="366">
                  <c:v>-8.2347309836183928</c:v>
                </c:pt>
                <c:pt idx="367">
                  <c:v>-9.1188455059661226</c:v>
                </c:pt>
                <c:pt idx="368">
                  <c:v>-9.9955808802557264</c:v>
                </c:pt>
                <c:pt idx="369">
                  <c:v>-10.865000845828353</c:v>
                </c:pt>
                <c:pt idx="370">
                  <c:v>-11.727168556355949</c:v>
                </c:pt>
                <c:pt idx="371">
                  <c:v>-12.582146585791794</c:v>
                </c:pt>
                <c:pt idx="372">
                  <c:v>-13.429996934251543</c:v>
                </c:pt>
                <c:pt idx="373">
                  <c:v>-14.27078103382571</c:v>
                </c:pt>
                <c:pt idx="374">
                  <c:v>-15.104559754324526</c:v>
                </c:pt>
                <c:pt idx="375">
                  <c:v>-15.931393408956103</c:v>
                </c:pt>
                <c:pt idx="376">
                  <c:v>-16.7513417599388</c:v>
                </c:pt>
                <c:pt idx="377">
                  <c:v>-17.5644640240487</c:v>
                </c:pt>
                <c:pt idx="378">
                  <c:v>-18.370818878103051</c:v>
                </c:pt>
                <c:pt idx="379">
                  <c:v>-19.170464464380558</c:v>
                </c:pt>
                <c:pt idx="380">
                  <c:v>-19.963458395979369</c:v>
                </c:pt>
                <c:pt idx="381">
                  <c:v>-20.749857762113592</c:v>
                </c:pt>
                <c:pt idx="382">
                  <c:v>-21.529719133349158</c:v>
                </c:pt>
                <c:pt idx="383">
                  <c:v>-22.303098566779866</c:v>
                </c:pt>
                <c:pt idx="384">
                  <c:v>-23.070051611144393</c:v>
                </c:pt>
                <c:pt idx="385">
                  <c:v>-23.830633311885041</c:v>
                </c:pt>
                <c:pt idx="386">
                  <c:v>-24.584898216149032</c:v>
                </c:pt>
                <c:pt idx="387">
                  <c:v>-25.332900377733079</c:v>
                </c:pt>
                <c:pt idx="388">
                  <c:v>-26.074693361972017</c:v>
                </c:pt>
                <c:pt idx="389">
                  <c:v>-26.810330250572182</c:v>
                </c:pt>
                <c:pt idx="390">
                  <c:v>-27.539863646390337</c:v>
                </c:pt>
                <c:pt idx="391">
                  <c:v>-28.263345678158792</c:v>
                </c:pt>
                <c:pt idx="392">
                  <c:v>-28.98082800515748</c:v>
                </c:pt>
                <c:pt idx="393">
                  <c:v>-29.692361821833643</c:v>
                </c:pt>
                <c:pt idx="394">
                  <c:v>-30.397997862369824</c:v>
                </c:pt>
                <c:pt idx="395">
                  <c:v>-31.097786405200868</c:v>
                </c:pt>
                <c:pt idx="396">
                  <c:v>-31.791777277480548</c:v>
                </c:pt>
                <c:pt idx="397">
                  <c:v>-32.480019859498512</c:v>
                </c:pt>
                <c:pt idx="398">
                  <c:v>-33.162563089048163</c:v>
                </c:pt>
                <c:pt idx="399">
                  <c:v>-33.83945546574612</c:v>
                </c:pt>
                <c:pt idx="400">
                  <c:v>-34.760286908918339</c:v>
                </c:pt>
                <c:pt idx="401">
                  <c:v>-35.673421523742945</c:v>
                </c:pt>
                <c:pt idx="402">
                  <c:v>-36.578925977144387</c:v>
                </c:pt>
                <c:pt idx="403">
                  <c:v>-37.476866320496242</c:v>
                </c:pt>
                <c:pt idx="404">
                  <c:v>-38.367307995922921</c:v>
                </c:pt>
                <c:pt idx="405">
                  <c:v>-39.250315842527023</c:v>
                </c:pt>
                <c:pt idx="406">
                  <c:v>-40.125954102543368</c:v>
                </c:pt>
                <c:pt idx="407">
                  <c:v>-40.994286427420747</c:v>
                </c:pt>
                <c:pt idx="408">
                  <c:v>-41.855375883832323</c:v>
                </c:pt>
                <c:pt idx="409">
                  <c:v>-42.709284959615751</c:v>
                </c:pt>
                <c:pt idx="410">
                  <c:v>-43.556075569643895</c:v>
                </c:pt>
                <c:pt idx="411">
                  <c:v>-44.395809061627169</c:v>
                </c:pt>
                <c:pt idx="412">
                  <c:v>-45.228546221848347</c:v>
                </c:pt>
                <c:pt idx="413">
                  <c:v>-46.054347280830861</c:v>
                </c:pt>
                <c:pt idx="414">
                  <c:v>-46.873271918941398</c:v>
                </c:pt>
                <c:pt idx="415">
                  <c:v>-47.685379271927758</c:v>
                </c:pt>
                <c:pt idx="416">
                  <c:v>-48.490727936392808</c:v>
                </c:pt>
                <c:pt idx="417">
                  <c:v>-49.289375975205409</c:v>
                </c:pt>
                <c:pt idx="418">
                  <c:v>-50.081380922849164</c:v>
                </c:pt>
                <c:pt idx="419">
                  <c:v>-50.866799790709813</c:v>
                </c:pt>
                <c:pt idx="420">
                  <c:v>-51.645689072302126</c:v>
                </c:pt>
                <c:pt idx="421">
                  <c:v>-52.418104748437052</c:v>
                </c:pt>
                <c:pt idx="422">
                  <c:v>-53.184102292329989</c:v>
                </c:pt>
                <c:pt idx="423">
                  <c:v>-53.943736674650893</c:v>
                </c:pt>
                <c:pt idx="424">
                  <c:v>-54.697062368517052</c:v>
                </c:pt>
                <c:pt idx="425">
                  <c:v>-55.444133354429255</c:v>
                </c:pt>
                <c:pt idx="426">
                  <c:v>-56.185003125152093</c:v>
                </c:pt>
                <c:pt idx="427">
                  <c:v>-56.919724690539198</c:v>
                </c:pt>
                <c:pt idx="428">
                  <c:v>-57.648350582304047</c:v>
                </c:pt>
                <c:pt idx="429">
                  <c:v>-58.370932858737149</c:v>
                </c:pt>
                <c:pt idx="430">
                  <c:v>-59.087523109370203</c:v>
                </c:pt>
                <c:pt idx="431">
                  <c:v>-59.798172459588045</c:v>
                </c:pt>
                <c:pt idx="432">
                  <c:v>-60.502931575188988</c:v>
                </c:pt>
                <c:pt idx="433">
                  <c:v>-61.201850666894231</c:v>
                </c:pt>
                <c:pt idx="434">
                  <c:v>-61.894979494807032</c:v>
                </c:pt>
                <c:pt idx="435">
                  <c:v>-62.582367372822276</c:v>
                </c:pt>
                <c:pt idx="436">
                  <c:v>-63.264063172987079</c:v>
                </c:pt>
                <c:pt idx="437">
                  <c:v>-63.940115329813089</c:v>
                </c:pt>
                <c:pt idx="438">
                  <c:v>-64.610571844541056</c:v>
                </c:pt>
                <c:pt idx="439">
                  <c:v>-65.275480289358342</c:v>
                </c:pt>
                <c:pt idx="440">
                  <c:v>-66.184309657903214</c:v>
                </c:pt>
                <c:pt idx="441">
                  <c:v>-67.085546138552147</c:v>
                </c:pt>
                <c:pt idx="442">
                  <c:v>-67.979255438796926</c:v>
                </c:pt>
                <c:pt idx="443">
                  <c:v>-68.865502660396288</c:v>
                </c:pt>
                <c:pt idx="444">
                  <c:v>-69.744352305561904</c:v>
                </c:pt>
                <c:pt idx="445">
                  <c:v>-70.615868283071549</c:v>
                </c:pt>
                <c:pt idx="446">
                  <c:v>-71.480113914310564</c:v>
                </c:pt>
                <c:pt idx="447">
                  <c:v>-72.337151939242574</c:v>
                </c:pt>
                <c:pt idx="448">
                  <c:v>-73.187044522310345</c:v>
                </c:pt>
                <c:pt idx="449">
                  <c:v>-74.029853258267948</c:v>
                </c:pt>
                <c:pt idx="450">
                  <c:v>-74.865639177944914</c:v>
                </c:pt>
                <c:pt idx="451">
                  <c:v>-75.694462753943483</c:v>
                </c:pt>
                <c:pt idx="452">
                  <c:v>-76.516383906269795</c:v>
                </c:pt>
                <c:pt idx="453">
                  <c:v>-77.331462007899916</c:v>
                </c:pt>
                <c:pt idx="454">
                  <c:v>-78.139755890281606</c:v>
                </c:pt>
                <c:pt idx="455">
                  <c:v>-78.941323848772655</c:v>
                </c:pt>
                <c:pt idx="456">
                  <c:v>-79.736223648016704</c:v>
                </c:pt>
                <c:pt idx="457">
                  <c:v>-80.524512527257343</c:v>
                </c:pt>
                <c:pt idx="458">
                  <c:v>-81.306247205591319</c:v>
                </c:pt>
                <c:pt idx="459">
                  <c:v>-82.081483887161696</c:v>
                </c:pt>
                <c:pt idx="460">
                  <c:v>-82.850278266291738</c:v>
                </c:pt>
                <c:pt idx="461">
                  <c:v>-83.612685532560334</c:v>
                </c:pt>
                <c:pt idx="462">
                  <c:v>-84.368760375819733</c:v>
                </c:pt>
                <c:pt idx="463">
                  <c:v>-85.118556991156325</c:v>
                </c:pt>
                <c:pt idx="464">
                  <c:v>-85.862129083795267</c:v>
                </c:pt>
                <c:pt idx="465">
                  <c:v>-86.599529873949677</c:v>
                </c:pt>
                <c:pt idx="466">
                  <c:v>-87.330812101615166</c:v>
                </c:pt>
                <c:pt idx="467">
                  <c:v>-88.056028031310305</c:v>
                </c:pt>
                <c:pt idx="468">
                  <c:v>-88.775229456763881</c:v>
                </c:pt>
                <c:pt idx="469">
                  <c:v>-89.488467705549596</c:v>
                </c:pt>
                <c:pt idx="470">
                  <c:v>-90.195793643668807</c:v>
                </c:pt>
                <c:pt idx="471">
                  <c:v>-90.897257680082163</c:v>
                </c:pt>
                <c:pt idx="472">
                  <c:v>-91.592909771190619</c:v>
                </c:pt>
                <c:pt idx="473">
                  <c:v>-92.28279942526656</c:v>
                </c:pt>
                <c:pt idx="474">
                  <c:v>-92.966975706835782</c:v>
                </c:pt>
                <c:pt idx="475">
                  <c:v>-93.645487241010741</c:v>
                </c:pt>
                <c:pt idx="476">
                  <c:v>-94.318382217775977</c:v>
                </c:pt>
                <c:pt idx="477">
                  <c:v>-94.985708396226016</c:v>
                </c:pt>
                <c:pt idx="478">
                  <c:v>-95.647513108756698</c:v>
                </c:pt>
                <c:pt idx="479">
                  <c:v>-96.303843265210219</c:v>
                </c:pt>
              </c:numCache>
            </c:numRef>
          </c:val>
          <c:smooth val="0"/>
          <c:extLst>
            <c:ext xmlns:c16="http://schemas.microsoft.com/office/drawing/2014/chart" uri="{C3380CC4-5D6E-409C-BE32-E72D297353CC}">
              <c16:uniqueId val="{00000001-FD58-4C28-AF66-681F5E6C7B89}"/>
            </c:ext>
          </c:extLst>
        </c:ser>
        <c:ser>
          <c:idx val="0"/>
          <c:order val="2"/>
          <c:tx>
            <c:strRef>
              <c:f>'Uurlijkse calc'!$AB$2</c:f>
              <c:strCache>
                <c:ptCount val="1"/>
                <c:pt idx="0">
                  <c:v>carb res + eat</c:v>
                </c:pt>
              </c:strCache>
            </c:strRef>
          </c:tx>
          <c:spPr>
            <a:ln w="28575" cap="rnd">
              <a:solidFill>
                <a:schemeClr val="accent1"/>
              </a:solidFill>
              <a:round/>
            </a:ln>
            <a:effectLst/>
          </c:spPr>
          <c:marker>
            <c:symbol val="none"/>
          </c:marker>
          <c:cat>
            <c:numRef>
              <c:f>'Uurlijkse calc'!$E$3:$E$482</c:f>
              <c:numCache>
                <c:formatCode>h:mm;@</c:formatCode>
                <c:ptCount val="480"/>
                <c:pt idx="0">
                  <c:v>1.0006944444444446</c:v>
                </c:pt>
                <c:pt idx="1">
                  <c:v>1.0013888888888891</c:v>
                </c:pt>
                <c:pt idx="2">
                  <c:v>1.0020833333333337</c:v>
                </c:pt>
                <c:pt idx="3">
                  <c:v>1.0027777777777782</c:v>
                </c:pt>
                <c:pt idx="4">
                  <c:v>1.0034722222222228</c:v>
                </c:pt>
                <c:pt idx="5">
                  <c:v>1.0041666666666673</c:v>
                </c:pt>
                <c:pt idx="6">
                  <c:v>1.0048611111111119</c:v>
                </c:pt>
                <c:pt idx="7">
                  <c:v>1.0055555555555564</c:v>
                </c:pt>
                <c:pt idx="8">
                  <c:v>1.006250000000001</c:v>
                </c:pt>
                <c:pt idx="9">
                  <c:v>1.0069444444444455</c:v>
                </c:pt>
                <c:pt idx="10">
                  <c:v>1.0076388888888901</c:v>
                </c:pt>
                <c:pt idx="11">
                  <c:v>1.0083333333333346</c:v>
                </c:pt>
                <c:pt idx="12">
                  <c:v>1.0090277777777792</c:v>
                </c:pt>
                <c:pt idx="13">
                  <c:v>1.0097222222222237</c:v>
                </c:pt>
                <c:pt idx="14">
                  <c:v>1.0104166666666683</c:v>
                </c:pt>
                <c:pt idx="15">
                  <c:v>1.0111111111111128</c:v>
                </c:pt>
                <c:pt idx="16">
                  <c:v>1.0118055555555574</c:v>
                </c:pt>
                <c:pt idx="17">
                  <c:v>1.012500000000002</c:v>
                </c:pt>
                <c:pt idx="18">
                  <c:v>1.0131944444444465</c:v>
                </c:pt>
                <c:pt idx="19">
                  <c:v>1.0138888888888911</c:v>
                </c:pt>
                <c:pt idx="20">
                  <c:v>1.0145833333333356</c:v>
                </c:pt>
                <c:pt idx="21">
                  <c:v>1.0152777777777802</c:v>
                </c:pt>
                <c:pt idx="22">
                  <c:v>1.0159722222222247</c:v>
                </c:pt>
                <c:pt idx="23">
                  <c:v>1.0166666666666693</c:v>
                </c:pt>
                <c:pt idx="24">
                  <c:v>1.0173611111111138</c:v>
                </c:pt>
                <c:pt idx="25">
                  <c:v>1.0180555555555584</c:v>
                </c:pt>
                <c:pt idx="26">
                  <c:v>1.0187500000000029</c:v>
                </c:pt>
                <c:pt idx="27">
                  <c:v>1.0194444444444475</c:v>
                </c:pt>
                <c:pt idx="28">
                  <c:v>1.020138888888892</c:v>
                </c:pt>
                <c:pt idx="29">
                  <c:v>1.0208333333333366</c:v>
                </c:pt>
                <c:pt idx="30">
                  <c:v>1.0215277777777811</c:v>
                </c:pt>
                <c:pt idx="31">
                  <c:v>1.0222222222222257</c:v>
                </c:pt>
                <c:pt idx="32">
                  <c:v>1.0229166666666702</c:v>
                </c:pt>
                <c:pt idx="33">
                  <c:v>1.0236111111111148</c:v>
                </c:pt>
                <c:pt idx="34">
                  <c:v>1.0243055555555594</c:v>
                </c:pt>
                <c:pt idx="35">
                  <c:v>1.0250000000000039</c:v>
                </c:pt>
                <c:pt idx="36">
                  <c:v>1.0256944444444485</c:v>
                </c:pt>
                <c:pt idx="37">
                  <c:v>1.026388888888893</c:v>
                </c:pt>
                <c:pt idx="38">
                  <c:v>1.0270833333333376</c:v>
                </c:pt>
                <c:pt idx="39">
                  <c:v>1.0277777777777821</c:v>
                </c:pt>
                <c:pt idx="40">
                  <c:v>1.0284722222222267</c:v>
                </c:pt>
                <c:pt idx="41">
                  <c:v>1.0291666666666712</c:v>
                </c:pt>
                <c:pt idx="42">
                  <c:v>1.0298611111111158</c:v>
                </c:pt>
                <c:pt idx="43">
                  <c:v>1.0305555555555603</c:v>
                </c:pt>
                <c:pt idx="44">
                  <c:v>1.0312500000000049</c:v>
                </c:pt>
                <c:pt idx="45">
                  <c:v>1.0319444444444494</c:v>
                </c:pt>
                <c:pt idx="46">
                  <c:v>1.032638888888894</c:v>
                </c:pt>
                <c:pt idx="47">
                  <c:v>1.0333333333333385</c:v>
                </c:pt>
                <c:pt idx="48">
                  <c:v>1.0340277777777831</c:v>
                </c:pt>
                <c:pt idx="49">
                  <c:v>1.0347222222222276</c:v>
                </c:pt>
                <c:pt idx="50">
                  <c:v>1.0354166666666722</c:v>
                </c:pt>
                <c:pt idx="51">
                  <c:v>1.0361111111111168</c:v>
                </c:pt>
                <c:pt idx="52">
                  <c:v>1.0368055555555613</c:v>
                </c:pt>
                <c:pt idx="53">
                  <c:v>1.0375000000000059</c:v>
                </c:pt>
                <c:pt idx="54">
                  <c:v>1.0381944444444504</c:v>
                </c:pt>
                <c:pt idx="55">
                  <c:v>1.038888888888895</c:v>
                </c:pt>
                <c:pt idx="56">
                  <c:v>1.0395833333333395</c:v>
                </c:pt>
                <c:pt idx="57">
                  <c:v>1.0402777777777841</c:v>
                </c:pt>
                <c:pt idx="58">
                  <c:v>1.0409722222222286</c:v>
                </c:pt>
                <c:pt idx="59">
                  <c:v>1.0416666666666732</c:v>
                </c:pt>
                <c:pt idx="60">
                  <c:v>1.0423611111111177</c:v>
                </c:pt>
                <c:pt idx="61">
                  <c:v>1.0430555555555623</c:v>
                </c:pt>
                <c:pt idx="62">
                  <c:v>1.0437500000000068</c:v>
                </c:pt>
                <c:pt idx="63">
                  <c:v>1.0444444444444514</c:v>
                </c:pt>
                <c:pt idx="64">
                  <c:v>1.0451388888888959</c:v>
                </c:pt>
                <c:pt idx="65">
                  <c:v>1.0458333333333405</c:v>
                </c:pt>
                <c:pt idx="66">
                  <c:v>1.0465277777777851</c:v>
                </c:pt>
                <c:pt idx="67">
                  <c:v>1.0472222222222296</c:v>
                </c:pt>
                <c:pt idx="68">
                  <c:v>1.0479166666666742</c:v>
                </c:pt>
                <c:pt idx="69">
                  <c:v>1.0486111111111187</c:v>
                </c:pt>
                <c:pt idx="70">
                  <c:v>1.0493055555555633</c:v>
                </c:pt>
                <c:pt idx="71">
                  <c:v>1.0500000000000078</c:v>
                </c:pt>
                <c:pt idx="72">
                  <c:v>1.0506944444444524</c:v>
                </c:pt>
                <c:pt idx="73">
                  <c:v>1.0513888888888969</c:v>
                </c:pt>
                <c:pt idx="74">
                  <c:v>1.0520833333333415</c:v>
                </c:pt>
                <c:pt idx="75">
                  <c:v>1.052777777777786</c:v>
                </c:pt>
                <c:pt idx="76">
                  <c:v>1.0534722222222306</c:v>
                </c:pt>
                <c:pt idx="77">
                  <c:v>1.0541666666666751</c:v>
                </c:pt>
                <c:pt idx="78">
                  <c:v>1.0548611111111197</c:v>
                </c:pt>
                <c:pt idx="79">
                  <c:v>1.0555555555555642</c:v>
                </c:pt>
                <c:pt idx="80">
                  <c:v>1.0562500000000088</c:v>
                </c:pt>
                <c:pt idx="81">
                  <c:v>1.0569444444444533</c:v>
                </c:pt>
                <c:pt idx="82">
                  <c:v>1.0576388888888979</c:v>
                </c:pt>
                <c:pt idx="83">
                  <c:v>1.0583333333333425</c:v>
                </c:pt>
                <c:pt idx="84">
                  <c:v>1.059027777777787</c:v>
                </c:pt>
                <c:pt idx="85">
                  <c:v>1.0597222222222316</c:v>
                </c:pt>
                <c:pt idx="86">
                  <c:v>1.0604166666666761</c:v>
                </c:pt>
                <c:pt idx="87">
                  <c:v>1.0611111111111207</c:v>
                </c:pt>
                <c:pt idx="88">
                  <c:v>1.0618055555555652</c:v>
                </c:pt>
                <c:pt idx="89">
                  <c:v>1.0625000000000098</c:v>
                </c:pt>
                <c:pt idx="90">
                  <c:v>1.0631944444444543</c:v>
                </c:pt>
                <c:pt idx="91">
                  <c:v>1.0638888888888989</c:v>
                </c:pt>
                <c:pt idx="92">
                  <c:v>1.0645833333333434</c:v>
                </c:pt>
                <c:pt idx="93">
                  <c:v>1.065277777777788</c:v>
                </c:pt>
                <c:pt idx="94">
                  <c:v>1.0659722222222325</c:v>
                </c:pt>
                <c:pt idx="95">
                  <c:v>1.0666666666666771</c:v>
                </c:pt>
                <c:pt idx="96">
                  <c:v>1.0673611111111216</c:v>
                </c:pt>
                <c:pt idx="97">
                  <c:v>1.0680555555555662</c:v>
                </c:pt>
                <c:pt idx="98">
                  <c:v>1.0687500000000107</c:v>
                </c:pt>
                <c:pt idx="99">
                  <c:v>1.0694444444444553</c:v>
                </c:pt>
                <c:pt idx="100">
                  <c:v>1.0701388888888999</c:v>
                </c:pt>
                <c:pt idx="101">
                  <c:v>1.0708333333333444</c:v>
                </c:pt>
                <c:pt idx="102">
                  <c:v>1.071527777777789</c:v>
                </c:pt>
                <c:pt idx="103">
                  <c:v>1.0722222222222335</c:v>
                </c:pt>
                <c:pt idx="104">
                  <c:v>1.0729166666666781</c:v>
                </c:pt>
                <c:pt idx="105">
                  <c:v>1.0736111111111226</c:v>
                </c:pt>
                <c:pt idx="106">
                  <c:v>1.0743055555555672</c:v>
                </c:pt>
                <c:pt idx="107">
                  <c:v>1.0750000000000117</c:v>
                </c:pt>
                <c:pt idx="108">
                  <c:v>1.0756944444444563</c:v>
                </c:pt>
                <c:pt idx="109">
                  <c:v>1.0763888888889008</c:v>
                </c:pt>
                <c:pt idx="110">
                  <c:v>1.0770833333333454</c:v>
                </c:pt>
                <c:pt idx="111">
                  <c:v>1.0777777777777899</c:v>
                </c:pt>
                <c:pt idx="112">
                  <c:v>1.0784722222222345</c:v>
                </c:pt>
                <c:pt idx="113">
                  <c:v>1.079166666666679</c:v>
                </c:pt>
                <c:pt idx="114">
                  <c:v>1.0798611111111236</c:v>
                </c:pt>
                <c:pt idx="115">
                  <c:v>1.0805555555555681</c:v>
                </c:pt>
                <c:pt idx="116">
                  <c:v>1.0812500000000127</c:v>
                </c:pt>
                <c:pt idx="117">
                  <c:v>1.0819444444444573</c:v>
                </c:pt>
                <c:pt idx="118">
                  <c:v>1.0826388888889018</c:v>
                </c:pt>
                <c:pt idx="119">
                  <c:v>1.0833333333333464</c:v>
                </c:pt>
                <c:pt idx="120">
                  <c:v>1.0840277777777909</c:v>
                </c:pt>
                <c:pt idx="121">
                  <c:v>1.0847222222222355</c:v>
                </c:pt>
                <c:pt idx="122">
                  <c:v>1.08541666666668</c:v>
                </c:pt>
                <c:pt idx="123">
                  <c:v>1.0861111111111246</c:v>
                </c:pt>
                <c:pt idx="124">
                  <c:v>1.0868055555555691</c:v>
                </c:pt>
                <c:pt idx="125">
                  <c:v>1.0875000000000137</c:v>
                </c:pt>
                <c:pt idx="126">
                  <c:v>1.0881944444444582</c:v>
                </c:pt>
                <c:pt idx="127">
                  <c:v>1.0888888888889028</c:v>
                </c:pt>
                <c:pt idx="128">
                  <c:v>1.0895833333333473</c:v>
                </c:pt>
                <c:pt idx="129">
                  <c:v>1.0902777777777919</c:v>
                </c:pt>
                <c:pt idx="130">
                  <c:v>1.0909722222222364</c:v>
                </c:pt>
                <c:pt idx="131">
                  <c:v>1.091666666666681</c:v>
                </c:pt>
                <c:pt idx="132">
                  <c:v>1.0923611111111255</c:v>
                </c:pt>
                <c:pt idx="133">
                  <c:v>1.0930555555555701</c:v>
                </c:pt>
                <c:pt idx="134">
                  <c:v>1.0937500000000147</c:v>
                </c:pt>
                <c:pt idx="135">
                  <c:v>1.0944444444444592</c:v>
                </c:pt>
                <c:pt idx="136">
                  <c:v>1.0951388888889038</c:v>
                </c:pt>
                <c:pt idx="137">
                  <c:v>1.0958333333333483</c:v>
                </c:pt>
                <c:pt idx="138">
                  <c:v>1.0965277777777929</c:v>
                </c:pt>
                <c:pt idx="139">
                  <c:v>1.0972222222222374</c:v>
                </c:pt>
                <c:pt idx="140">
                  <c:v>1.097916666666682</c:v>
                </c:pt>
                <c:pt idx="141">
                  <c:v>1.0986111111111265</c:v>
                </c:pt>
                <c:pt idx="142">
                  <c:v>1.0993055555555711</c:v>
                </c:pt>
                <c:pt idx="143">
                  <c:v>1.1000000000000156</c:v>
                </c:pt>
                <c:pt idx="144">
                  <c:v>1.1006944444444602</c:v>
                </c:pt>
                <c:pt idx="145">
                  <c:v>1.1013888888889047</c:v>
                </c:pt>
                <c:pt idx="146">
                  <c:v>1.1020833333333493</c:v>
                </c:pt>
                <c:pt idx="147">
                  <c:v>1.1027777777777938</c:v>
                </c:pt>
                <c:pt idx="148">
                  <c:v>1.1034722222222384</c:v>
                </c:pt>
                <c:pt idx="149">
                  <c:v>1.1041666666666829</c:v>
                </c:pt>
                <c:pt idx="150">
                  <c:v>1.1048611111111275</c:v>
                </c:pt>
                <c:pt idx="151">
                  <c:v>1.1055555555555721</c:v>
                </c:pt>
                <c:pt idx="152">
                  <c:v>1.1062500000000166</c:v>
                </c:pt>
                <c:pt idx="153">
                  <c:v>1.1069444444444612</c:v>
                </c:pt>
                <c:pt idx="154">
                  <c:v>1.1076388888889057</c:v>
                </c:pt>
                <c:pt idx="155">
                  <c:v>1.1083333333333503</c:v>
                </c:pt>
                <c:pt idx="156">
                  <c:v>1.1090277777777948</c:v>
                </c:pt>
                <c:pt idx="157">
                  <c:v>1.1097222222222394</c:v>
                </c:pt>
                <c:pt idx="158">
                  <c:v>1.1104166666666839</c:v>
                </c:pt>
                <c:pt idx="159">
                  <c:v>1.1111111111111285</c:v>
                </c:pt>
                <c:pt idx="160">
                  <c:v>1.111805555555573</c:v>
                </c:pt>
                <c:pt idx="161">
                  <c:v>1.1125000000000176</c:v>
                </c:pt>
                <c:pt idx="162">
                  <c:v>1.1131944444444621</c:v>
                </c:pt>
                <c:pt idx="163">
                  <c:v>1.1138888888889067</c:v>
                </c:pt>
                <c:pt idx="164">
                  <c:v>1.1145833333333512</c:v>
                </c:pt>
                <c:pt idx="165">
                  <c:v>1.1152777777777958</c:v>
                </c:pt>
                <c:pt idx="166">
                  <c:v>1.1159722222222404</c:v>
                </c:pt>
                <c:pt idx="167">
                  <c:v>1.1166666666666849</c:v>
                </c:pt>
                <c:pt idx="168">
                  <c:v>1.1173611111111295</c:v>
                </c:pt>
                <c:pt idx="169">
                  <c:v>1.118055555555574</c:v>
                </c:pt>
                <c:pt idx="170">
                  <c:v>1.1187500000000186</c:v>
                </c:pt>
                <c:pt idx="171">
                  <c:v>1.1194444444444631</c:v>
                </c:pt>
                <c:pt idx="172">
                  <c:v>1.1201388888889077</c:v>
                </c:pt>
                <c:pt idx="173">
                  <c:v>1.1208333333333522</c:v>
                </c:pt>
                <c:pt idx="174">
                  <c:v>1.1215277777777968</c:v>
                </c:pt>
                <c:pt idx="175">
                  <c:v>1.1222222222222413</c:v>
                </c:pt>
                <c:pt idx="176">
                  <c:v>1.1229166666666859</c:v>
                </c:pt>
                <c:pt idx="177">
                  <c:v>1.1236111111111304</c:v>
                </c:pt>
                <c:pt idx="178">
                  <c:v>1.124305555555575</c:v>
                </c:pt>
                <c:pt idx="179">
                  <c:v>1.1250000000000195</c:v>
                </c:pt>
                <c:pt idx="180">
                  <c:v>1.1256944444444641</c:v>
                </c:pt>
                <c:pt idx="181">
                  <c:v>1.1263888888889086</c:v>
                </c:pt>
                <c:pt idx="182">
                  <c:v>1.1270833333333532</c:v>
                </c:pt>
                <c:pt idx="183">
                  <c:v>1.1277777777777978</c:v>
                </c:pt>
                <c:pt idx="184">
                  <c:v>1.1284722222222423</c:v>
                </c:pt>
                <c:pt idx="185">
                  <c:v>1.1291666666666869</c:v>
                </c:pt>
                <c:pt idx="186">
                  <c:v>1.1298611111111314</c:v>
                </c:pt>
                <c:pt idx="187">
                  <c:v>1.130555555555576</c:v>
                </c:pt>
                <c:pt idx="188">
                  <c:v>1.1312500000000205</c:v>
                </c:pt>
                <c:pt idx="189">
                  <c:v>1.1319444444444651</c:v>
                </c:pt>
                <c:pt idx="190">
                  <c:v>1.1326388888889096</c:v>
                </c:pt>
                <c:pt idx="191">
                  <c:v>1.1333333333333542</c:v>
                </c:pt>
                <c:pt idx="192">
                  <c:v>1.1340277777777987</c:v>
                </c:pt>
                <c:pt idx="193">
                  <c:v>1.1347222222222433</c:v>
                </c:pt>
                <c:pt idx="194">
                  <c:v>1.1354166666666878</c:v>
                </c:pt>
                <c:pt idx="195">
                  <c:v>1.1361111111111324</c:v>
                </c:pt>
                <c:pt idx="196">
                  <c:v>1.1368055555555769</c:v>
                </c:pt>
                <c:pt idx="197">
                  <c:v>1.1375000000000215</c:v>
                </c:pt>
                <c:pt idx="198">
                  <c:v>1.138194444444466</c:v>
                </c:pt>
                <c:pt idx="199">
                  <c:v>1.1388888888889106</c:v>
                </c:pt>
                <c:pt idx="200">
                  <c:v>1.1395833333333552</c:v>
                </c:pt>
                <c:pt idx="201">
                  <c:v>1.1402777777777997</c:v>
                </c:pt>
                <c:pt idx="202">
                  <c:v>1.1409722222222443</c:v>
                </c:pt>
                <c:pt idx="203">
                  <c:v>1.1416666666666888</c:v>
                </c:pt>
                <c:pt idx="204">
                  <c:v>1.1423611111111334</c:v>
                </c:pt>
                <c:pt idx="205">
                  <c:v>1.1430555555555779</c:v>
                </c:pt>
                <c:pt idx="206">
                  <c:v>1.1437500000000225</c:v>
                </c:pt>
                <c:pt idx="207">
                  <c:v>1.144444444444467</c:v>
                </c:pt>
                <c:pt idx="208">
                  <c:v>1.1451388888889116</c:v>
                </c:pt>
                <c:pt idx="209">
                  <c:v>1.1458333333333561</c:v>
                </c:pt>
                <c:pt idx="210">
                  <c:v>1.1465277777778007</c:v>
                </c:pt>
                <c:pt idx="211">
                  <c:v>1.1472222222222452</c:v>
                </c:pt>
                <c:pt idx="212">
                  <c:v>1.1479166666666898</c:v>
                </c:pt>
                <c:pt idx="213">
                  <c:v>1.1486111111111343</c:v>
                </c:pt>
                <c:pt idx="214">
                  <c:v>1.1493055555555789</c:v>
                </c:pt>
                <c:pt idx="215">
                  <c:v>1.1500000000000234</c:v>
                </c:pt>
                <c:pt idx="216">
                  <c:v>1.150694444444468</c:v>
                </c:pt>
                <c:pt idx="217">
                  <c:v>1.1513888888889126</c:v>
                </c:pt>
                <c:pt idx="218">
                  <c:v>1.1520833333333571</c:v>
                </c:pt>
                <c:pt idx="219">
                  <c:v>1.1527777777778017</c:v>
                </c:pt>
                <c:pt idx="220">
                  <c:v>1.1534722222222462</c:v>
                </c:pt>
                <c:pt idx="221">
                  <c:v>1.1541666666666908</c:v>
                </c:pt>
                <c:pt idx="222">
                  <c:v>1.1548611111111353</c:v>
                </c:pt>
                <c:pt idx="223">
                  <c:v>1.1555555555555799</c:v>
                </c:pt>
                <c:pt idx="224">
                  <c:v>1.1562500000000244</c:v>
                </c:pt>
                <c:pt idx="225">
                  <c:v>1.156944444444469</c:v>
                </c:pt>
                <c:pt idx="226">
                  <c:v>1.1576388888889135</c:v>
                </c:pt>
                <c:pt idx="227">
                  <c:v>1.1583333333333581</c:v>
                </c:pt>
                <c:pt idx="228">
                  <c:v>1.1590277777778026</c:v>
                </c:pt>
                <c:pt idx="229">
                  <c:v>1.1597222222222472</c:v>
                </c:pt>
                <c:pt idx="230">
                  <c:v>1.1604166666666917</c:v>
                </c:pt>
                <c:pt idx="231">
                  <c:v>1.1611111111111363</c:v>
                </c:pt>
                <c:pt idx="232">
                  <c:v>1.1618055555555808</c:v>
                </c:pt>
                <c:pt idx="233">
                  <c:v>1.1625000000000254</c:v>
                </c:pt>
                <c:pt idx="234">
                  <c:v>1.16319444444447</c:v>
                </c:pt>
                <c:pt idx="235">
                  <c:v>1.1638888888889145</c:v>
                </c:pt>
                <c:pt idx="236">
                  <c:v>1.1645833333333591</c:v>
                </c:pt>
                <c:pt idx="237">
                  <c:v>1.1652777777778036</c:v>
                </c:pt>
                <c:pt idx="238">
                  <c:v>1.1659722222222482</c:v>
                </c:pt>
                <c:pt idx="239">
                  <c:v>1.1666666666666927</c:v>
                </c:pt>
                <c:pt idx="240">
                  <c:v>1.1673611111111373</c:v>
                </c:pt>
                <c:pt idx="241">
                  <c:v>1.1680555555555818</c:v>
                </c:pt>
                <c:pt idx="242">
                  <c:v>1.1687500000000264</c:v>
                </c:pt>
                <c:pt idx="243">
                  <c:v>1.1694444444444709</c:v>
                </c:pt>
                <c:pt idx="244">
                  <c:v>1.1701388888889155</c:v>
                </c:pt>
                <c:pt idx="245">
                  <c:v>1.17083333333336</c:v>
                </c:pt>
                <c:pt idx="246">
                  <c:v>1.1715277777778046</c:v>
                </c:pt>
                <c:pt idx="247">
                  <c:v>1.1722222222222491</c:v>
                </c:pt>
                <c:pt idx="248">
                  <c:v>1.1729166666666937</c:v>
                </c:pt>
                <c:pt idx="249">
                  <c:v>1.1736111111111382</c:v>
                </c:pt>
                <c:pt idx="250">
                  <c:v>1.1743055555555828</c:v>
                </c:pt>
                <c:pt idx="251">
                  <c:v>1.1750000000000274</c:v>
                </c:pt>
                <c:pt idx="252">
                  <c:v>1.1756944444444719</c:v>
                </c:pt>
                <c:pt idx="253">
                  <c:v>1.1763888888889165</c:v>
                </c:pt>
                <c:pt idx="254">
                  <c:v>1.177083333333361</c:v>
                </c:pt>
                <c:pt idx="255">
                  <c:v>1.1777777777778056</c:v>
                </c:pt>
                <c:pt idx="256">
                  <c:v>1.1784722222222501</c:v>
                </c:pt>
                <c:pt idx="257">
                  <c:v>1.1791666666666947</c:v>
                </c:pt>
                <c:pt idx="258">
                  <c:v>1.1798611111111392</c:v>
                </c:pt>
                <c:pt idx="259">
                  <c:v>1.1805555555555838</c:v>
                </c:pt>
                <c:pt idx="260">
                  <c:v>1.1812500000000283</c:v>
                </c:pt>
                <c:pt idx="261">
                  <c:v>1.1819444444444729</c:v>
                </c:pt>
                <c:pt idx="262">
                  <c:v>1.1826388888889174</c:v>
                </c:pt>
                <c:pt idx="263">
                  <c:v>1.183333333333362</c:v>
                </c:pt>
                <c:pt idx="264">
                  <c:v>1.1840277777778065</c:v>
                </c:pt>
                <c:pt idx="265">
                  <c:v>1.1847222222222511</c:v>
                </c:pt>
                <c:pt idx="266">
                  <c:v>1.1854166666666957</c:v>
                </c:pt>
                <c:pt idx="267">
                  <c:v>1.1861111111111402</c:v>
                </c:pt>
                <c:pt idx="268">
                  <c:v>1.1868055555555848</c:v>
                </c:pt>
                <c:pt idx="269">
                  <c:v>1.1875000000000293</c:v>
                </c:pt>
                <c:pt idx="270">
                  <c:v>1.1881944444444739</c:v>
                </c:pt>
                <c:pt idx="271">
                  <c:v>1.1888888888889184</c:v>
                </c:pt>
                <c:pt idx="272">
                  <c:v>1.189583333333363</c:v>
                </c:pt>
                <c:pt idx="273">
                  <c:v>1.1902777777778075</c:v>
                </c:pt>
                <c:pt idx="274">
                  <c:v>1.1909722222222521</c:v>
                </c:pt>
                <c:pt idx="275">
                  <c:v>1.1916666666666966</c:v>
                </c:pt>
                <c:pt idx="276">
                  <c:v>1.1923611111111412</c:v>
                </c:pt>
                <c:pt idx="277">
                  <c:v>1.1930555555555857</c:v>
                </c:pt>
                <c:pt idx="278">
                  <c:v>1.1937500000000303</c:v>
                </c:pt>
                <c:pt idx="279">
                  <c:v>1.1944444444444748</c:v>
                </c:pt>
                <c:pt idx="280">
                  <c:v>1.1951388888889194</c:v>
                </c:pt>
                <c:pt idx="281">
                  <c:v>1.1958333333333639</c:v>
                </c:pt>
                <c:pt idx="282">
                  <c:v>1.1965277777778085</c:v>
                </c:pt>
                <c:pt idx="283">
                  <c:v>1.1972222222222531</c:v>
                </c:pt>
                <c:pt idx="284">
                  <c:v>1.1979166666666976</c:v>
                </c:pt>
                <c:pt idx="285">
                  <c:v>1.1986111111111422</c:v>
                </c:pt>
                <c:pt idx="286">
                  <c:v>1.1993055555555867</c:v>
                </c:pt>
                <c:pt idx="287">
                  <c:v>1.2000000000000313</c:v>
                </c:pt>
                <c:pt idx="288">
                  <c:v>1.2006944444444758</c:v>
                </c:pt>
                <c:pt idx="289">
                  <c:v>1.2013888888889204</c:v>
                </c:pt>
                <c:pt idx="290">
                  <c:v>1.2020833333333649</c:v>
                </c:pt>
                <c:pt idx="291">
                  <c:v>1.2027777777778095</c:v>
                </c:pt>
                <c:pt idx="292">
                  <c:v>1.203472222222254</c:v>
                </c:pt>
                <c:pt idx="293">
                  <c:v>1.2041666666666986</c:v>
                </c:pt>
                <c:pt idx="294">
                  <c:v>1.2048611111111431</c:v>
                </c:pt>
                <c:pt idx="295">
                  <c:v>1.2055555555555877</c:v>
                </c:pt>
                <c:pt idx="296">
                  <c:v>1.2062500000000322</c:v>
                </c:pt>
                <c:pt idx="297">
                  <c:v>1.2069444444444768</c:v>
                </c:pt>
                <c:pt idx="298">
                  <c:v>1.2076388888889213</c:v>
                </c:pt>
                <c:pt idx="299">
                  <c:v>1.2083333333333659</c:v>
                </c:pt>
                <c:pt idx="300">
                  <c:v>1.2090277777778105</c:v>
                </c:pt>
                <c:pt idx="301">
                  <c:v>1.209722222222255</c:v>
                </c:pt>
                <c:pt idx="302">
                  <c:v>1.2104166666666996</c:v>
                </c:pt>
                <c:pt idx="303">
                  <c:v>1.2111111111111441</c:v>
                </c:pt>
                <c:pt idx="304">
                  <c:v>1.2118055555555887</c:v>
                </c:pt>
                <c:pt idx="305">
                  <c:v>1.2125000000000332</c:v>
                </c:pt>
                <c:pt idx="306">
                  <c:v>1.2131944444444778</c:v>
                </c:pt>
                <c:pt idx="307">
                  <c:v>1.2138888888889223</c:v>
                </c:pt>
                <c:pt idx="308">
                  <c:v>1.2145833333333669</c:v>
                </c:pt>
                <c:pt idx="309">
                  <c:v>1.2152777777778114</c:v>
                </c:pt>
                <c:pt idx="310">
                  <c:v>1.215972222222256</c:v>
                </c:pt>
                <c:pt idx="311">
                  <c:v>1.2166666666667005</c:v>
                </c:pt>
                <c:pt idx="312">
                  <c:v>1.2173611111111451</c:v>
                </c:pt>
                <c:pt idx="313">
                  <c:v>1.2180555555555896</c:v>
                </c:pt>
                <c:pt idx="314">
                  <c:v>1.2187500000000342</c:v>
                </c:pt>
                <c:pt idx="315">
                  <c:v>1.2194444444444787</c:v>
                </c:pt>
                <c:pt idx="316">
                  <c:v>1.2201388888889233</c:v>
                </c:pt>
                <c:pt idx="317">
                  <c:v>1.2208333333333679</c:v>
                </c:pt>
                <c:pt idx="318">
                  <c:v>1.2215277777778124</c:v>
                </c:pt>
                <c:pt idx="319">
                  <c:v>1.222222222222257</c:v>
                </c:pt>
                <c:pt idx="320">
                  <c:v>1.2229166666667015</c:v>
                </c:pt>
                <c:pt idx="321">
                  <c:v>1.2236111111111461</c:v>
                </c:pt>
                <c:pt idx="322">
                  <c:v>1.2243055555555906</c:v>
                </c:pt>
                <c:pt idx="323">
                  <c:v>1.2250000000000352</c:v>
                </c:pt>
                <c:pt idx="324">
                  <c:v>1.2256944444444797</c:v>
                </c:pt>
                <c:pt idx="325">
                  <c:v>1.2263888888889243</c:v>
                </c:pt>
                <c:pt idx="326">
                  <c:v>1.2270833333333688</c:v>
                </c:pt>
                <c:pt idx="327">
                  <c:v>1.2277777777778134</c:v>
                </c:pt>
                <c:pt idx="328">
                  <c:v>1.2284722222222579</c:v>
                </c:pt>
                <c:pt idx="329">
                  <c:v>1.2291666666667025</c:v>
                </c:pt>
                <c:pt idx="330">
                  <c:v>1.229861111111147</c:v>
                </c:pt>
                <c:pt idx="331">
                  <c:v>1.2305555555555916</c:v>
                </c:pt>
                <c:pt idx="332">
                  <c:v>1.2312500000000361</c:v>
                </c:pt>
                <c:pt idx="333">
                  <c:v>1.2319444444444807</c:v>
                </c:pt>
                <c:pt idx="334">
                  <c:v>1.2326388888889253</c:v>
                </c:pt>
                <c:pt idx="335">
                  <c:v>1.2333333333333698</c:v>
                </c:pt>
                <c:pt idx="336">
                  <c:v>1.2340277777778144</c:v>
                </c:pt>
                <c:pt idx="337">
                  <c:v>1.2347222222222589</c:v>
                </c:pt>
                <c:pt idx="338">
                  <c:v>1.2354166666667035</c:v>
                </c:pt>
                <c:pt idx="339">
                  <c:v>1.236111111111148</c:v>
                </c:pt>
                <c:pt idx="340">
                  <c:v>1.2368055555555926</c:v>
                </c:pt>
                <c:pt idx="341">
                  <c:v>1.2375000000000371</c:v>
                </c:pt>
                <c:pt idx="342">
                  <c:v>1.2381944444444817</c:v>
                </c:pt>
                <c:pt idx="343">
                  <c:v>1.2388888888889262</c:v>
                </c:pt>
                <c:pt idx="344">
                  <c:v>1.2395833333333708</c:v>
                </c:pt>
                <c:pt idx="345">
                  <c:v>1.2402777777778153</c:v>
                </c:pt>
                <c:pt idx="346">
                  <c:v>1.2409722222222599</c:v>
                </c:pt>
                <c:pt idx="347">
                  <c:v>1.2416666666667044</c:v>
                </c:pt>
                <c:pt idx="348">
                  <c:v>1.242361111111149</c:v>
                </c:pt>
                <c:pt idx="349">
                  <c:v>1.2430555555555935</c:v>
                </c:pt>
                <c:pt idx="350">
                  <c:v>1.2437500000000381</c:v>
                </c:pt>
                <c:pt idx="351">
                  <c:v>1.2444444444444827</c:v>
                </c:pt>
                <c:pt idx="352">
                  <c:v>1.2451388888889272</c:v>
                </c:pt>
                <c:pt idx="353">
                  <c:v>1.2458333333333718</c:v>
                </c:pt>
                <c:pt idx="354">
                  <c:v>1.2465277777778163</c:v>
                </c:pt>
                <c:pt idx="355">
                  <c:v>1.2472222222222609</c:v>
                </c:pt>
                <c:pt idx="356">
                  <c:v>1.2479166666667054</c:v>
                </c:pt>
                <c:pt idx="357">
                  <c:v>1.24861111111115</c:v>
                </c:pt>
                <c:pt idx="358">
                  <c:v>1.2493055555555945</c:v>
                </c:pt>
                <c:pt idx="359">
                  <c:v>1.2500000000000391</c:v>
                </c:pt>
                <c:pt idx="360">
                  <c:v>1.2506944444444836</c:v>
                </c:pt>
                <c:pt idx="361">
                  <c:v>1.2513888888889282</c:v>
                </c:pt>
                <c:pt idx="362">
                  <c:v>1.2520833333333727</c:v>
                </c:pt>
                <c:pt idx="363">
                  <c:v>1.2527777777778173</c:v>
                </c:pt>
                <c:pt idx="364">
                  <c:v>1.2534722222222618</c:v>
                </c:pt>
                <c:pt idx="365">
                  <c:v>1.2541666666667064</c:v>
                </c:pt>
                <c:pt idx="366">
                  <c:v>1.254861111111151</c:v>
                </c:pt>
                <c:pt idx="367">
                  <c:v>1.2555555555555955</c:v>
                </c:pt>
                <c:pt idx="368">
                  <c:v>1.2562500000000401</c:v>
                </c:pt>
                <c:pt idx="369">
                  <c:v>1.2569444444444846</c:v>
                </c:pt>
                <c:pt idx="370">
                  <c:v>1.2576388888889292</c:v>
                </c:pt>
                <c:pt idx="371">
                  <c:v>1.2583333333333737</c:v>
                </c:pt>
                <c:pt idx="372">
                  <c:v>1.2590277777778183</c:v>
                </c:pt>
                <c:pt idx="373">
                  <c:v>1.2597222222222628</c:v>
                </c:pt>
                <c:pt idx="374">
                  <c:v>1.2604166666667074</c:v>
                </c:pt>
                <c:pt idx="375">
                  <c:v>1.2611111111111519</c:v>
                </c:pt>
                <c:pt idx="376">
                  <c:v>1.2618055555555965</c:v>
                </c:pt>
                <c:pt idx="377">
                  <c:v>1.262500000000041</c:v>
                </c:pt>
                <c:pt idx="378">
                  <c:v>1.2631944444444856</c:v>
                </c:pt>
                <c:pt idx="379">
                  <c:v>1.2638888888889301</c:v>
                </c:pt>
                <c:pt idx="380">
                  <c:v>1.2645833333333747</c:v>
                </c:pt>
                <c:pt idx="381">
                  <c:v>1.2652777777778192</c:v>
                </c:pt>
                <c:pt idx="382">
                  <c:v>1.2659722222222638</c:v>
                </c:pt>
                <c:pt idx="383">
                  <c:v>1.2666666666667084</c:v>
                </c:pt>
                <c:pt idx="384">
                  <c:v>1.2673611111111529</c:v>
                </c:pt>
                <c:pt idx="385">
                  <c:v>1.2680555555555975</c:v>
                </c:pt>
                <c:pt idx="386">
                  <c:v>1.268750000000042</c:v>
                </c:pt>
                <c:pt idx="387">
                  <c:v>1.2694444444444866</c:v>
                </c:pt>
                <c:pt idx="388">
                  <c:v>1.2701388888889311</c:v>
                </c:pt>
                <c:pt idx="389">
                  <c:v>1.2708333333333757</c:v>
                </c:pt>
                <c:pt idx="390">
                  <c:v>1.2715277777778202</c:v>
                </c:pt>
                <c:pt idx="391">
                  <c:v>1.2722222222222648</c:v>
                </c:pt>
                <c:pt idx="392">
                  <c:v>1.2729166666667093</c:v>
                </c:pt>
                <c:pt idx="393">
                  <c:v>1.2736111111111539</c:v>
                </c:pt>
                <c:pt idx="394">
                  <c:v>1.2743055555555984</c:v>
                </c:pt>
                <c:pt idx="395">
                  <c:v>1.275000000000043</c:v>
                </c:pt>
                <c:pt idx="396">
                  <c:v>1.2756944444444875</c:v>
                </c:pt>
                <c:pt idx="397">
                  <c:v>1.2763888888889321</c:v>
                </c:pt>
                <c:pt idx="398">
                  <c:v>1.2770833333333766</c:v>
                </c:pt>
                <c:pt idx="399">
                  <c:v>1.2777777777778212</c:v>
                </c:pt>
                <c:pt idx="400">
                  <c:v>1.2784722222222658</c:v>
                </c:pt>
                <c:pt idx="401">
                  <c:v>1.2791666666667103</c:v>
                </c:pt>
                <c:pt idx="402">
                  <c:v>1.2798611111111549</c:v>
                </c:pt>
                <c:pt idx="403">
                  <c:v>1.2805555555555994</c:v>
                </c:pt>
                <c:pt idx="404">
                  <c:v>1.281250000000044</c:v>
                </c:pt>
                <c:pt idx="405">
                  <c:v>1.2819444444444885</c:v>
                </c:pt>
                <c:pt idx="406">
                  <c:v>1.2826388888889331</c:v>
                </c:pt>
                <c:pt idx="407">
                  <c:v>1.2833333333333776</c:v>
                </c:pt>
                <c:pt idx="408">
                  <c:v>1.2840277777778222</c:v>
                </c:pt>
                <c:pt idx="409">
                  <c:v>1.2847222222222667</c:v>
                </c:pt>
                <c:pt idx="410">
                  <c:v>1.2854166666667113</c:v>
                </c:pt>
                <c:pt idx="411">
                  <c:v>1.2861111111111558</c:v>
                </c:pt>
                <c:pt idx="412">
                  <c:v>1.2868055555556004</c:v>
                </c:pt>
                <c:pt idx="413">
                  <c:v>1.2875000000000449</c:v>
                </c:pt>
                <c:pt idx="414">
                  <c:v>1.2881944444444895</c:v>
                </c:pt>
                <c:pt idx="415">
                  <c:v>1.288888888888934</c:v>
                </c:pt>
                <c:pt idx="416">
                  <c:v>1.2895833333333786</c:v>
                </c:pt>
                <c:pt idx="417">
                  <c:v>1.2902777777778232</c:v>
                </c:pt>
                <c:pt idx="418">
                  <c:v>1.2909722222222677</c:v>
                </c:pt>
                <c:pt idx="419">
                  <c:v>1.2916666666667123</c:v>
                </c:pt>
                <c:pt idx="420">
                  <c:v>1.2923611111111568</c:v>
                </c:pt>
                <c:pt idx="421">
                  <c:v>1.2930555555556014</c:v>
                </c:pt>
                <c:pt idx="422">
                  <c:v>1.2937500000000459</c:v>
                </c:pt>
                <c:pt idx="423">
                  <c:v>1.2944444444444905</c:v>
                </c:pt>
                <c:pt idx="424">
                  <c:v>1.295138888888935</c:v>
                </c:pt>
                <c:pt idx="425">
                  <c:v>1.2958333333333796</c:v>
                </c:pt>
                <c:pt idx="426">
                  <c:v>1.2965277777778241</c:v>
                </c:pt>
                <c:pt idx="427">
                  <c:v>1.2972222222222687</c:v>
                </c:pt>
                <c:pt idx="428">
                  <c:v>1.2979166666667132</c:v>
                </c:pt>
                <c:pt idx="429">
                  <c:v>1.2986111111111578</c:v>
                </c:pt>
                <c:pt idx="430">
                  <c:v>1.2993055555556023</c:v>
                </c:pt>
                <c:pt idx="431">
                  <c:v>1.3000000000000469</c:v>
                </c:pt>
                <c:pt idx="432">
                  <c:v>1.3006944444444914</c:v>
                </c:pt>
                <c:pt idx="433">
                  <c:v>1.301388888888936</c:v>
                </c:pt>
                <c:pt idx="434">
                  <c:v>1.3020833333333806</c:v>
                </c:pt>
                <c:pt idx="435">
                  <c:v>1.3027777777778251</c:v>
                </c:pt>
                <c:pt idx="436">
                  <c:v>1.3034722222222697</c:v>
                </c:pt>
                <c:pt idx="437">
                  <c:v>1.3041666666667142</c:v>
                </c:pt>
                <c:pt idx="438">
                  <c:v>1.3048611111111588</c:v>
                </c:pt>
                <c:pt idx="439">
                  <c:v>1.3055555555556033</c:v>
                </c:pt>
                <c:pt idx="440">
                  <c:v>1.3062500000000479</c:v>
                </c:pt>
                <c:pt idx="441">
                  <c:v>1.3069444444444924</c:v>
                </c:pt>
                <c:pt idx="442">
                  <c:v>1.307638888888937</c:v>
                </c:pt>
                <c:pt idx="443">
                  <c:v>1.3083333333333815</c:v>
                </c:pt>
                <c:pt idx="444">
                  <c:v>1.3090277777778261</c:v>
                </c:pt>
                <c:pt idx="445">
                  <c:v>1.3097222222222706</c:v>
                </c:pt>
                <c:pt idx="446">
                  <c:v>1.3104166666667152</c:v>
                </c:pt>
                <c:pt idx="447">
                  <c:v>1.3111111111111597</c:v>
                </c:pt>
                <c:pt idx="448">
                  <c:v>1.3118055555556043</c:v>
                </c:pt>
                <c:pt idx="449">
                  <c:v>1.3125000000000488</c:v>
                </c:pt>
                <c:pt idx="450">
                  <c:v>1.3131944444444934</c:v>
                </c:pt>
                <c:pt idx="451">
                  <c:v>1.313888888888938</c:v>
                </c:pt>
                <c:pt idx="452">
                  <c:v>1.3145833333333825</c:v>
                </c:pt>
                <c:pt idx="453">
                  <c:v>1.3152777777778271</c:v>
                </c:pt>
                <c:pt idx="454">
                  <c:v>1.3159722222222716</c:v>
                </c:pt>
                <c:pt idx="455">
                  <c:v>1.3166666666667162</c:v>
                </c:pt>
                <c:pt idx="456">
                  <c:v>1.3173611111111607</c:v>
                </c:pt>
                <c:pt idx="457">
                  <c:v>1.3180555555556053</c:v>
                </c:pt>
                <c:pt idx="458">
                  <c:v>1.3187500000000498</c:v>
                </c:pt>
                <c:pt idx="459">
                  <c:v>1.3194444444444944</c:v>
                </c:pt>
                <c:pt idx="460">
                  <c:v>1.3201388888889389</c:v>
                </c:pt>
                <c:pt idx="461">
                  <c:v>1.3208333333333835</c:v>
                </c:pt>
                <c:pt idx="462">
                  <c:v>1.321527777777828</c:v>
                </c:pt>
                <c:pt idx="463">
                  <c:v>1.3222222222222726</c:v>
                </c:pt>
                <c:pt idx="464">
                  <c:v>1.3229166666667171</c:v>
                </c:pt>
                <c:pt idx="465">
                  <c:v>1.3236111111111617</c:v>
                </c:pt>
                <c:pt idx="466">
                  <c:v>1.3243055555556063</c:v>
                </c:pt>
                <c:pt idx="467">
                  <c:v>1.3250000000000508</c:v>
                </c:pt>
                <c:pt idx="468">
                  <c:v>1.3256944444444954</c:v>
                </c:pt>
                <c:pt idx="469">
                  <c:v>1.3263888888889399</c:v>
                </c:pt>
                <c:pt idx="470">
                  <c:v>1.3270833333333845</c:v>
                </c:pt>
                <c:pt idx="471">
                  <c:v>1.327777777777829</c:v>
                </c:pt>
                <c:pt idx="472">
                  <c:v>1.3284722222222736</c:v>
                </c:pt>
                <c:pt idx="473">
                  <c:v>1.3291666666667181</c:v>
                </c:pt>
                <c:pt idx="474">
                  <c:v>1.3298611111111627</c:v>
                </c:pt>
                <c:pt idx="475">
                  <c:v>1.3305555555556072</c:v>
                </c:pt>
                <c:pt idx="476">
                  <c:v>1.3312500000000518</c:v>
                </c:pt>
                <c:pt idx="477">
                  <c:v>1.3319444444444963</c:v>
                </c:pt>
                <c:pt idx="478">
                  <c:v>1.3326388888889409</c:v>
                </c:pt>
                <c:pt idx="479">
                  <c:v>1.3333333333333854</c:v>
                </c:pt>
              </c:numCache>
            </c:numRef>
          </c:cat>
          <c:val>
            <c:numRef>
              <c:f>'Uurlijkse calc'!$AB$3:$AB$482</c:f>
              <c:numCache>
                <c:formatCode>0.0</c:formatCode>
                <c:ptCount val="480"/>
                <c:pt idx="0">
                  <c:v>404.43799544426412</c:v>
                </c:pt>
                <c:pt idx="1">
                  <c:v>402.33455416860755</c:v>
                </c:pt>
                <c:pt idx="2">
                  <c:v>400.24950140225883</c:v>
                </c:pt>
                <c:pt idx="3">
                  <c:v>398.18266422709439</c:v>
                </c:pt>
                <c:pt idx="4">
                  <c:v>396.13387155456547</c:v>
                </c:pt>
                <c:pt idx="5">
                  <c:v>394.10295410296766</c:v>
                </c:pt>
                <c:pt idx="6">
                  <c:v>392.0897443750481</c:v>
                </c:pt>
                <c:pt idx="7">
                  <c:v>390.09407663594379</c:v>
                </c:pt>
                <c:pt idx="8">
                  <c:v>388.11578689144551</c:v>
                </c:pt>
                <c:pt idx="9">
                  <c:v>386.15471286658146</c:v>
                </c:pt>
                <c:pt idx="10">
                  <c:v>384.21069398451561</c:v>
                </c:pt>
                <c:pt idx="11">
                  <c:v>382.28357134575447</c:v>
                </c:pt>
                <c:pt idx="12">
                  <c:v>380.37318770765791</c:v>
                </c:pt>
                <c:pt idx="13">
                  <c:v>378.47938746424802</c:v>
                </c:pt>
                <c:pt idx="14">
                  <c:v>376.60201662631141</c:v>
                </c:pt>
                <c:pt idx="15">
                  <c:v>374.74092280178968</c:v>
                </c:pt>
                <c:pt idx="16">
                  <c:v>372.89595517645313</c:v>
                </c:pt>
                <c:pt idx="17">
                  <c:v>371.06696449485321</c:v>
                </c:pt>
                <c:pt idx="18">
                  <c:v>369.25380304154839</c:v>
                </c:pt>
                <c:pt idx="19">
                  <c:v>367.45632462259954</c:v>
                </c:pt>
                <c:pt idx="20">
                  <c:v>365.67438454732951</c:v>
                </c:pt>
                <c:pt idx="21">
                  <c:v>363.90783961034322</c:v>
                </c:pt>
                <c:pt idx="22">
                  <c:v>362.15654807380326</c:v>
                </c:pt>
                <c:pt idx="23">
                  <c:v>360.42036964995714</c:v>
                </c:pt>
                <c:pt idx="24">
                  <c:v>358.69916548391166</c:v>
                </c:pt>
                <c:pt idx="25">
                  <c:v>356.99279813665044</c:v>
                </c:pt>
                <c:pt idx="26">
                  <c:v>355.30113156829071</c:v>
                </c:pt>
                <c:pt idx="27">
                  <c:v>353.62403112157517</c:v>
                </c:pt>
                <c:pt idx="28">
                  <c:v>351.96136350559499</c:v>
                </c:pt>
                <c:pt idx="29">
                  <c:v>350.31299677974044</c:v>
                </c:pt>
                <c:pt idx="30">
                  <c:v>348.67880033787497</c:v>
                </c:pt>
                <c:pt idx="31">
                  <c:v>347.05864489272955</c:v>
                </c:pt>
                <c:pt idx="32">
                  <c:v>345.45240246051327</c:v>
                </c:pt>
                <c:pt idx="33">
                  <c:v>343.85994634573683</c:v>
                </c:pt>
                <c:pt idx="34">
                  <c:v>342.28115112624545</c:v>
                </c:pt>
                <c:pt idx="35">
                  <c:v>340.71589263845794</c:v>
                </c:pt>
                <c:pt idx="36">
                  <c:v>339.16404796280801</c:v>
                </c:pt>
                <c:pt idx="37">
                  <c:v>337.62549540938551</c:v>
                </c:pt>
                <c:pt idx="38">
                  <c:v>336.10011450377328</c:v>
                </c:pt>
                <c:pt idx="39">
                  <c:v>364.58778597307747</c:v>
                </c:pt>
                <c:pt idx="40">
                  <c:v>362.83062440398669</c:v>
                </c:pt>
                <c:pt idx="41">
                  <c:v>361.0886299180271</c:v>
                </c:pt>
                <c:pt idx="42">
                  <c:v>359.36166310934851</c:v>
                </c:pt>
                <c:pt idx="43">
                  <c:v>357.64958599450313</c:v>
                </c:pt>
                <c:pt idx="44">
                  <c:v>355.95226199561046</c:v>
                </c:pt>
                <c:pt idx="45">
                  <c:v>354.26955592375867</c:v>
                </c:pt>
                <c:pt idx="46">
                  <c:v>352.60133396263916</c:v>
                </c:pt>
                <c:pt idx="47">
                  <c:v>350.94746365240951</c:v>
                </c:pt>
                <c:pt idx="48">
                  <c:v>349.30781387378198</c:v>
                </c:pt>
                <c:pt idx="49">
                  <c:v>347.68225483233323</c:v>
                </c:pt>
                <c:pt idx="50">
                  <c:v>346.0706580430317</c:v>
                </c:pt>
                <c:pt idx="51">
                  <c:v>344.47289631497966</c:v>
                </c:pt>
                <c:pt idx="52">
                  <c:v>342.88884373636552</c:v>
                </c:pt>
                <c:pt idx="53">
                  <c:v>341.31837565962365</c:v>
                </c:pt>
                <c:pt idx="54">
                  <c:v>339.76136868679828</c:v>
                </c:pt>
                <c:pt idx="55">
                  <c:v>338.21770065510765</c:v>
                </c:pt>
                <c:pt idx="56">
                  <c:v>336.68725062270613</c:v>
                </c:pt>
                <c:pt idx="57">
                  <c:v>335.16989885463988</c:v>
                </c:pt>
                <c:pt idx="58">
                  <c:v>333.66552680899423</c:v>
                </c:pt>
                <c:pt idx="59">
                  <c:v>332.17401712322862</c:v>
                </c:pt>
                <c:pt idx="60">
                  <c:v>330.6952536006969</c:v>
                </c:pt>
                <c:pt idx="61">
                  <c:v>329.2291211973494</c:v>
                </c:pt>
                <c:pt idx="62">
                  <c:v>327.7755060086144</c:v>
                </c:pt>
                <c:pt idx="63">
                  <c:v>326.33429525645579</c:v>
                </c:pt>
                <c:pt idx="64">
                  <c:v>324.9053772766045</c:v>
                </c:pt>
                <c:pt idx="65">
                  <c:v>323.48864150596023</c:v>
                </c:pt>
                <c:pt idx="66">
                  <c:v>322.08397847016192</c:v>
                </c:pt>
                <c:pt idx="67">
                  <c:v>320.69127977132308</c:v>
                </c:pt>
                <c:pt idx="68">
                  <c:v>319.31043807593034</c:v>
                </c:pt>
                <c:pt idx="69">
                  <c:v>317.94134710290228</c:v>
                </c:pt>
                <c:pt idx="70">
                  <c:v>316.58390161180591</c:v>
                </c:pt>
                <c:pt idx="71">
                  <c:v>315.23799739122865</c:v>
                </c:pt>
                <c:pt idx="72">
                  <c:v>313.90353124730314</c:v>
                </c:pt>
                <c:pt idx="73">
                  <c:v>312.58040099238269</c:v>
                </c:pt>
                <c:pt idx="74">
                  <c:v>311.26850543386513</c:v>
                </c:pt>
                <c:pt idx="75">
                  <c:v>309.96774436316207</c:v>
                </c:pt>
                <c:pt idx="76">
                  <c:v>308.67801854481263</c:v>
                </c:pt>
                <c:pt idx="77">
                  <c:v>307.39922970573798</c:v>
                </c:pt>
                <c:pt idx="78">
                  <c:v>306.13128052463571</c:v>
                </c:pt>
                <c:pt idx="79">
                  <c:v>334.87407462151111</c:v>
                </c:pt>
                <c:pt idx="80">
                  <c:v>333.37223236686469</c:v>
                </c:pt>
                <c:pt idx="81">
                  <c:v>331.88322961010647</c:v>
                </c:pt>
                <c:pt idx="82">
                  <c:v>330.40695038150159</c:v>
                </c:pt>
                <c:pt idx="83">
                  <c:v>328.94327986132691</c:v>
                </c:pt>
                <c:pt idx="84">
                  <c:v>327.49210436678732</c:v>
                </c:pt>
                <c:pt idx="85">
                  <c:v>326.05331133910738</c:v>
                </c:pt>
                <c:pt idx="86">
                  <c:v>324.6267893307965</c:v>
                </c:pt>
                <c:pt idx="87">
                  <c:v>323.21242799308402</c:v>
                </c:pt>
                <c:pt idx="88">
                  <c:v>321.81011806352205</c:v>
                </c:pt>
                <c:pt idx="89">
                  <c:v>320.41975135375304</c:v>
                </c:pt>
                <c:pt idx="90">
                  <c:v>319.04122073744003</c:v>
                </c:pt>
                <c:pt idx="91">
                  <c:v>317.67442013835642</c:v>
                </c:pt>
                <c:pt idx="92">
                  <c:v>316.31924451863318</c:v>
                </c:pt>
                <c:pt idx="93">
                  <c:v>314.97558986716103</c:v>
                </c:pt>
                <c:pt idx="94">
                  <c:v>313.64335318814483</c:v>
                </c:pt>
                <c:pt idx="95">
                  <c:v>312.32243248980848</c:v>
                </c:pt>
                <c:pt idx="96">
                  <c:v>311.0127267732471</c:v>
                </c:pt>
                <c:pt idx="97">
                  <c:v>309.71413602142525</c:v>
                </c:pt>
                <c:pt idx="98">
                  <c:v>308.42656118831803</c:v>
                </c:pt>
                <c:pt idx="99">
                  <c:v>307.14990418819337</c:v>
                </c:pt>
                <c:pt idx="100">
                  <c:v>305.8840678850334</c:v>
                </c:pt>
                <c:pt idx="101">
                  <c:v>304.62895608209232</c:v>
                </c:pt>
                <c:pt idx="102">
                  <c:v>303.38447351158925</c:v>
                </c:pt>
                <c:pt idx="103">
                  <c:v>302.15052582453359</c:v>
                </c:pt>
                <c:pt idx="104">
                  <c:v>300.92701958068102</c:v>
                </c:pt>
                <c:pt idx="105">
                  <c:v>299.71386223861839</c:v>
                </c:pt>
                <c:pt idx="106">
                  <c:v>298.51096214597499</c:v>
                </c:pt>
                <c:pt idx="107">
                  <c:v>297.31822852975904</c:v>
                </c:pt>
                <c:pt idx="108">
                  <c:v>296.13557148681679</c:v>
                </c:pt>
                <c:pt idx="109">
                  <c:v>294.96290197441294</c:v>
                </c:pt>
                <c:pt idx="110">
                  <c:v>293.80013180093033</c:v>
                </c:pt>
                <c:pt idx="111">
                  <c:v>292.6471736166871</c:v>
                </c:pt>
                <c:pt idx="112">
                  <c:v>291.50394090486969</c:v>
                </c:pt>
                <c:pt idx="113">
                  <c:v>290.37034797257979</c:v>
                </c:pt>
                <c:pt idx="114">
                  <c:v>289.24630994199379</c:v>
                </c:pt>
                <c:pt idx="115">
                  <c:v>288.13174274163288</c:v>
                </c:pt>
                <c:pt idx="116">
                  <c:v>287.02656309774216</c:v>
                </c:pt>
                <c:pt idx="117">
                  <c:v>285.93068852577733</c:v>
                </c:pt>
                <c:pt idx="118">
                  <c:v>284.84403732199729</c:v>
                </c:pt>
                <c:pt idx="119">
                  <c:v>313.7665285551609</c:v>
                </c:pt>
                <c:pt idx="120">
                  <c:v>312.44456181616778</c:v>
                </c:pt>
                <c:pt idx="121">
                  <c:v>311.13381939179339</c:v>
                </c:pt>
                <c:pt idx="122">
                  <c:v>309.83420117432814</c:v>
                </c:pt>
                <c:pt idx="123">
                  <c:v>308.54560802807487</c:v>
                </c:pt>
                <c:pt idx="124">
                  <c:v>307.26794177861808</c:v>
                </c:pt>
                <c:pt idx="125">
                  <c:v>306.00110520223262</c:v>
                </c:pt>
                <c:pt idx="126">
                  <c:v>304.74500201542889</c:v>
                </c:pt>
                <c:pt idx="127">
                  <c:v>303.49953686463328</c:v>
                </c:pt>
                <c:pt idx="128">
                  <c:v>302.26461531600125</c:v>
                </c:pt>
                <c:pt idx="129">
                  <c:v>301.0401438453614</c:v>
                </c:pt>
                <c:pt idx="130">
                  <c:v>299.82602982828837</c:v>
                </c:pt>
                <c:pt idx="131">
                  <c:v>298.62218153030256</c:v>
                </c:pt>
                <c:pt idx="132">
                  <c:v>297.42850809719494</c:v>
                </c:pt>
                <c:pt idx="133">
                  <c:v>296.24491954547506</c:v>
                </c:pt>
                <c:pt idx="134">
                  <c:v>295.07132675294008</c:v>
                </c:pt>
                <c:pt idx="135">
                  <c:v>293.90764144936355</c:v>
                </c:pt>
                <c:pt idx="136">
                  <c:v>292.75377620730177</c:v>
                </c:pt>
                <c:pt idx="137">
                  <c:v>291.609644433016</c:v>
                </c:pt>
                <c:pt idx="138">
                  <c:v>290.47516035750908</c:v>
                </c:pt>
                <c:pt idx="139">
                  <c:v>289.35023902767438</c:v>
                </c:pt>
                <c:pt idx="140">
                  <c:v>288.23479629755565</c:v>
                </c:pt>
                <c:pt idx="141">
                  <c:v>287.12874881971629</c:v>
                </c:pt>
                <c:pt idx="142">
                  <c:v>286.03201403671596</c:v>
                </c:pt>
                <c:pt idx="143">
                  <c:v>284.94451017269336</c:v>
                </c:pt>
                <c:pt idx="144">
                  <c:v>283.86615622505354</c:v>
                </c:pt>
                <c:pt idx="145">
                  <c:v>282.7968719562582</c:v>
                </c:pt>
                <c:pt idx="146">
                  <c:v>281.73657788571722</c:v>
                </c:pt>
                <c:pt idx="147">
                  <c:v>280.68519528178052</c:v>
                </c:pt>
                <c:pt idx="148">
                  <c:v>279.6426461538282</c:v>
                </c:pt>
                <c:pt idx="149">
                  <c:v>278.60885324445786</c:v>
                </c:pt>
                <c:pt idx="150">
                  <c:v>277.58374002176771</c:v>
                </c:pt>
                <c:pt idx="151">
                  <c:v>276.56723067173391</c:v>
                </c:pt>
                <c:pt idx="152">
                  <c:v>275.55925009068096</c:v>
                </c:pt>
                <c:pt idx="153">
                  <c:v>274.55972387784368</c:v>
                </c:pt>
                <c:pt idx="154">
                  <c:v>273.56857832801961</c:v>
                </c:pt>
                <c:pt idx="155">
                  <c:v>272.58574042431036</c:v>
                </c:pt>
                <c:pt idx="156">
                  <c:v>271.61113783095078</c:v>
                </c:pt>
                <c:pt idx="157">
                  <c:v>270.6446988862246</c:v>
                </c:pt>
                <c:pt idx="158">
                  <c:v>269.68635259546545</c:v>
                </c:pt>
                <c:pt idx="159">
                  <c:v>298.73602862414214</c:v>
                </c:pt>
                <c:pt idx="160">
                  <c:v>297.54139313399975</c:v>
                </c:pt>
                <c:pt idx="161">
                  <c:v>296.35685103055164</c:v>
                </c:pt>
                <c:pt idx="162">
                  <c:v>295.1823131102318</c:v>
                </c:pt>
                <c:pt idx="163">
                  <c:v>294.01769102232942</c:v>
                </c:pt>
                <c:pt idx="164">
                  <c:v>292.86289725978412</c:v>
                </c:pt>
                <c:pt idx="165">
                  <c:v>291.7178451500975</c:v>
                </c:pt>
                <c:pt idx="166">
                  <c:v>290.58244884635872</c:v>
                </c:pt>
                <c:pt idx="167">
                  <c:v>289.45662331838287</c:v>
                </c:pt>
                <c:pt idx="168">
                  <c:v>288.3402843439606</c:v>
                </c:pt>
                <c:pt idx="169">
                  <c:v>287.23334850021678</c:v>
                </c:pt>
                <c:pt idx="170">
                  <c:v>286.13573315507716</c:v>
                </c:pt>
                <c:pt idx="171">
                  <c:v>285.04735645884108</c:v>
                </c:pt>
                <c:pt idx="172">
                  <c:v>283.96813733585896</c:v>
                </c:pt>
                <c:pt idx="173">
                  <c:v>282.89799547631281</c:v>
                </c:pt>
                <c:pt idx="174">
                  <c:v>281.83685132809836</c:v>
                </c:pt>
                <c:pt idx="175">
                  <c:v>280.78462608880727</c:v>
                </c:pt>
                <c:pt idx="176">
                  <c:v>279.74124169780816</c:v>
                </c:pt>
                <c:pt idx="177">
                  <c:v>278.70662082842472</c:v>
                </c:pt>
                <c:pt idx="178">
                  <c:v>277.68068688020963</c:v>
                </c:pt>
                <c:pt idx="179">
                  <c:v>276.66336397131334</c:v>
                </c:pt>
                <c:pt idx="180">
                  <c:v>275.65457693094538</c:v>
                </c:pt>
                <c:pt idx="181">
                  <c:v>274.65425129192789</c:v>
                </c:pt>
                <c:pt idx="182">
                  <c:v>273.6623132833393</c:v>
                </c:pt>
                <c:pt idx="183">
                  <c:v>272.67868982324751</c:v>
                </c:pt>
                <c:pt idx="184">
                  <c:v>271.70330851153062</c:v>
                </c:pt>
                <c:pt idx="185">
                  <c:v>270.73609762278454</c:v>
                </c:pt>
                <c:pt idx="186">
                  <c:v>269.77698609931582</c:v>
                </c:pt>
                <c:pt idx="187">
                  <c:v>268.82590354421905</c:v>
                </c:pt>
                <c:pt idx="188">
                  <c:v>267.88278021453681</c:v>
                </c:pt>
                <c:pt idx="189">
                  <c:v>266.94754701450182</c:v>
                </c:pt>
                <c:pt idx="190">
                  <c:v>266.02013548885975</c:v>
                </c:pt>
                <c:pt idx="191">
                  <c:v>265.10047781627134</c:v>
                </c:pt>
                <c:pt idx="192">
                  <c:v>264.18850680279343</c:v>
                </c:pt>
                <c:pt idx="193">
                  <c:v>263.28415587543691</c:v>
                </c:pt>
                <c:pt idx="194">
                  <c:v>262.38735907580127</c:v>
                </c:pt>
                <c:pt idx="195">
                  <c:v>261.4980510537842</c:v>
                </c:pt>
                <c:pt idx="196">
                  <c:v>260.61616706136545</c:v>
                </c:pt>
                <c:pt idx="197">
                  <c:v>259.74164294646386</c:v>
                </c:pt>
                <c:pt idx="198">
                  <c:v>258.87441514686657</c:v>
                </c:pt>
                <c:pt idx="199">
                  <c:v>288.01442068422926</c:v>
                </c:pt>
                <c:pt idx="200">
                  <c:v>286.9102289960897</c:v>
                </c:pt>
                <c:pt idx="201">
                  <c:v>285.81533370242323</c:v>
                </c:pt>
                <c:pt idx="202">
                  <c:v>284.72965318157623</c:v>
                </c:pt>
                <c:pt idx="203">
                  <c:v>283.65310658352297</c:v>
                </c:pt>
                <c:pt idx="204">
                  <c:v>282.58561382167625</c:v>
                </c:pt>
                <c:pt idx="205">
                  <c:v>281.52709556479891</c:v>
                </c:pt>
                <c:pt idx="206">
                  <c:v>280.47747322901546</c:v>
                </c:pt>
                <c:pt idx="207">
                  <c:v>279.43666896992141</c:v>
                </c:pt>
                <c:pt idx="208">
                  <c:v>278.40460567478993</c:v>
                </c:pt>
                <c:pt idx="209">
                  <c:v>277.38120695487362</c:v>
                </c:pt>
                <c:pt idx="210">
                  <c:v>276.36639713780056</c:v>
                </c:pt>
                <c:pt idx="211">
                  <c:v>275.36010126006289</c:v>
                </c:pt>
                <c:pt idx="212">
                  <c:v>274.36224505959689</c:v>
                </c:pt>
                <c:pt idx="213">
                  <c:v>273.37275496845314</c:v>
                </c:pt>
                <c:pt idx="214">
                  <c:v>272.39155810555542</c:v>
                </c:pt>
                <c:pt idx="215">
                  <c:v>271.41858226954719</c:v>
                </c:pt>
                <c:pt idx="216">
                  <c:v>270.45375593172417</c:v>
                </c:pt>
                <c:pt idx="217">
                  <c:v>269.49700822905231</c:v>
                </c:pt>
                <c:pt idx="218">
                  <c:v>268.54826895726944</c:v>
                </c:pt>
                <c:pt idx="219">
                  <c:v>267.60746856406939</c:v>
                </c:pt>
                <c:pt idx="220">
                  <c:v>266.67453814236814</c:v>
                </c:pt>
                <c:pt idx="221">
                  <c:v>265.74940942364975</c:v>
                </c:pt>
                <c:pt idx="222">
                  <c:v>264.83201477139204</c:v>
                </c:pt>
                <c:pt idx="223">
                  <c:v>263.9222871745701</c:v>
                </c:pt>
                <c:pt idx="224">
                  <c:v>263.02016024123697</c:v>
                </c:pt>
                <c:pt idx="225">
                  <c:v>262.12556819218025</c:v>
                </c:pt>
                <c:pt idx="226">
                  <c:v>261.23844585465355</c:v>
                </c:pt>
                <c:pt idx="227">
                  <c:v>260.35872865618211</c:v>
                </c:pt>
                <c:pt idx="228">
                  <c:v>259.48635261844095</c:v>
                </c:pt>
                <c:pt idx="229">
                  <c:v>258.62125435120504</c:v>
                </c:pt>
                <c:pt idx="230">
                  <c:v>257.76337104637042</c:v>
                </c:pt>
                <c:pt idx="231">
                  <c:v>256.91264047204498</c:v>
                </c:pt>
                <c:pt idx="232">
                  <c:v>256.06900096670842</c:v>
                </c:pt>
                <c:pt idx="233">
                  <c:v>255.23239143344</c:v>
                </c:pt>
                <c:pt idx="234">
                  <c:v>254.40275133421363</c:v>
                </c:pt>
                <c:pt idx="235">
                  <c:v>253.58002068425878</c:v>
                </c:pt>
                <c:pt idx="236">
                  <c:v>252.76414004648694</c:v>
                </c:pt>
                <c:pt idx="237">
                  <c:v>251.9550505259823</c:v>
                </c:pt>
                <c:pt idx="238">
                  <c:v>251.15269376455595</c:v>
                </c:pt>
                <c:pt idx="239">
                  <c:v>280.35701193536283</c:v>
                </c:pt>
                <c:pt idx="240">
                  <c:v>279.3172194981691</c:v>
                </c:pt>
                <c:pt idx="241">
                  <c:v>278.2861591799271</c:v>
                </c:pt>
                <c:pt idx="242">
                  <c:v>277.26375467487929</c:v>
                </c:pt>
                <c:pt idx="243">
                  <c:v>276.2499303927728</c:v>
                </c:pt>
                <c:pt idx="244">
                  <c:v>275.24461145135854</c:v>
                </c:pt>
                <c:pt idx="245">
                  <c:v>274.24772366898191</c:v>
                </c:pt>
                <c:pt idx="246">
                  <c:v>273.25919355726307</c:v>
                </c:pt>
                <c:pt idx="247">
                  <c:v>272.27894831386612</c:v>
                </c:pt>
                <c:pt idx="248">
                  <c:v>271.30691581535547</c:v>
                </c:pt>
                <c:pt idx="249">
                  <c:v>270.34302461013846</c:v>
                </c:pt>
                <c:pt idx="250">
                  <c:v>269.38720391149292</c:v>
                </c:pt>
                <c:pt idx="251">
                  <c:v>268.4393835906784</c:v>
                </c:pt>
                <c:pt idx="252">
                  <c:v>267.49949417012999</c:v>
                </c:pt>
                <c:pt idx="253">
                  <c:v>266.56746681673349</c:v>
                </c:pt>
                <c:pt idx="254">
                  <c:v>265.64323333518075</c:v>
                </c:pt>
                <c:pt idx="255">
                  <c:v>264.7267261614042</c:v>
                </c:pt>
                <c:pt idx="256">
                  <c:v>263.81787835608958</c:v>
                </c:pt>
                <c:pt idx="257">
                  <c:v>262.91662359826512</c:v>
                </c:pt>
                <c:pt idx="258">
                  <c:v>262.02289617896713</c:v>
                </c:pt>
                <c:pt idx="259">
                  <c:v>261.13663099497984</c:v>
                </c:pt>
                <c:pt idx="260">
                  <c:v>260.25776354264957</c:v>
                </c:pt>
                <c:pt idx="261">
                  <c:v>259.38622991177112</c:v>
                </c:pt>
                <c:pt idx="262">
                  <c:v>258.52196677954635</c:v>
                </c:pt>
                <c:pt idx="263">
                  <c:v>257.66491140461312</c:v>
                </c:pt>
                <c:pt idx="264">
                  <c:v>256.81500162114429</c:v>
                </c:pt>
                <c:pt idx="265">
                  <c:v>255.97217583301548</c:v>
                </c:pt>
                <c:pt idx="266">
                  <c:v>255.13637300804075</c:v>
                </c:pt>
                <c:pt idx="267">
                  <c:v>254.30753267227507</c:v>
                </c:pt>
                <c:pt idx="268">
                  <c:v>253.48559490438308</c:v>
                </c:pt>
                <c:pt idx="269">
                  <c:v>252.67050033007288</c:v>
                </c:pt>
                <c:pt idx="270">
                  <c:v>251.86219011659409</c:v>
                </c:pt>
                <c:pt idx="271">
                  <c:v>251.06060596729935</c:v>
                </c:pt>
                <c:pt idx="272">
                  <c:v>250.26569011626842</c:v>
                </c:pt>
                <c:pt idx="273">
                  <c:v>249.47738532299383</c:v>
                </c:pt>
                <c:pt idx="274">
                  <c:v>248.69563486712761</c:v>
                </c:pt>
                <c:pt idx="275">
                  <c:v>247.92038254328796</c:v>
                </c:pt>
                <c:pt idx="276">
                  <c:v>247.15157265592521</c:v>
                </c:pt>
                <c:pt idx="277">
                  <c:v>246.38915001424627</c:v>
                </c:pt>
                <c:pt idx="278">
                  <c:v>245.63305992719674</c:v>
                </c:pt>
                <c:pt idx="279">
                  <c:v>274.88324819850004</c:v>
                </c:pt>
                <c:pt idx="280">
                  <c:v>273.8893903197706</c:v>
                </c:pt>
                <c:pt idx="281">
                  <c:v>272.90386371345608</c:v>
                </c:pt>
                <c:pt idx="282">
                  <c:v>271.92659582347596</c:v>
                </c:pt>
                <c:pt idx="283">
                  <c:v>270.95751477008878</c:v>
                </c:pt>
                <c:pt idx="284">
                  <c:v>269.99654934286565</c:v>
                </c:pt>
                <c:pt idx="285">
                  <c:v>269.04362899374814</c:v>
                </c:pt>
                <c:pt idx="286">
                  <c:v>268.09868383018949</c:v>
                </c:pt>
                <c:pt idx="287">
                  <c:v>267.16164460837791</c:v>
                </c:pt>
                <c:pt idx="288">
                  <c:v>266.23244272654102</c:v>
                </c:pt>
                <c:pt idx="289">
                  <c:v>265.31101021832995</c:v>
                </c:pt>
                <c:pt idx="290">
                  <c:v>264.39727974628209</c:v>
                </c:pt>
                <c:pt idx="291">
                  <c:v>263.49118459536163</c:v>
                </c:pt>
                <c:pt idx="292">
                  <c:v>262.59265866657671</c:v>
                </c:pt>
                <c:pt idx="293">
                  <c:v>261.7016364706717</c:v>
                </c:pt>
                <c:pt idx="294">
                  <c:v>260.81805312189414</c:v>
                </c:pt>
                <c:pt idx="295">
                  <c:v>259.94184433183511</c:v>
                </c:pt>
                <c:pt idx="296">
                  <c:v>259.07294640334192</c:v>
                </c:pt>
                <c:pt idx="297">
                  <c:v>258.21129622450212</c:v>
                </c:pt>
                <c:pt idx="298">
                  <c:v>257.35683126269794</c:v>
                </c:pt>
                <c:pt idx="299">
                  <c:v>256.50948955873025</c:v>
                </c:pt>
                <c:pt idx="300">
                  <c:v>255.66920972101101</c:v>
                </c:pt>
                <c:pt idx="301">
                  <c:v>254.83593091982311</c:v>
                </c:pt>
                <c:pt idx="302">
                  <c:v>254.00959288164705</c:v>
                </c:pt>
                <c:pt idx="303">
                  <c:v>253.19013588355318</c:v>
                </c:pt>
                <c:pt idx="304">
                  <c:v>252.3775007476589</c:v>
                </c:pt>
                <c:pt idx="305">
                  <c:v>251.5716288356497</c:v>
                </c:pt>
                <c:pt idx="306">
                  <c:v>250.7724620433635</c:v>
                </c:pt>
                <c:pt idx="307">
                  <c:v>249.97994279543695</c:v>
                </c:pt>
                <c:pt idx="308">
                  <c:v>249.19401404001337</c:v>
                </c:pt>
                <c:pt idx="309">
                  <c:v>248.4146192435112</c:v>
                </c:pt>
                <c:pt idx="310">
                  <c:v>247.64170238545216</c:v>
                </c:pt>
                <c:pt idx="311">
                  <c:v>246.87520795334851</c:v>
                </c:pt>
                <c:pt idx="312">
                  <c:v>246.1150809376484</c:v>
                </c:pt>
                <c:pt idx="313">
                  <c:v>245.36126682673873</c:v>
                </c:pt>
                <c:pt idx="314">
                  <c:v>244.61371160200454</c:v>
                </c:pt>
                <c:pt idx="315">
                  <c:v>243.8723617329444</c:v>
                </c:pt>
                <c:pt idx="316">
                  <c:v>243.13716417234093</c:v>
                </c:pt>
                <c:pt idx="317">
                  <c:v>242.40806635148581</c:v>
                </c:pt>
                <c:pt idx="318">
                  <c:v>241.68501617545843</c:v>
                </c:pt>
                <c:pt idx="319">
                  <c:v>270.96796201845768</c:v>
                </c:pt>
                <c:pt idx="320">
                  <c:v>270.00690911408907</c:v>
                </c:pt>
                <c:pt idx="321">
                  <c:v>269.05390204802507</c:v>
                </c:pt>
                <c:pt idx="322">
                  <c:v>268.10887092065911</c:v>
                </c:pt>
                <c:pt idx="323">
                  <c:v>267.17174648119254</c:v>
                </c:pt>
                <c:pt idx="324">
                  <c:v>266.24246012093806</c:v>
                </c:pt>
                <c:pt idx="325">
                  <c:v>265.32094386670309</c:v>
                </c:pt>
                <c:pt idx="326">
                  <c:v>264.40713037425178</c:v>
                </c:pt>
                <c:pt idx="327">
                  <c:v>263.50095292184454</c:v>
                </c:pt>
                <c:pt idx="328">
                  <c:v>262.60234540385437</c:v>
                </c:pt>
                <c:pt idx="329">
                  <c:v>261.7112423244584</c:v>
                </c:pt>
                <c:pt idx="330">
                  <c:v>260.82757879140411</c:v>
                </c:pt>
                <c:pt idx="331">
                  <c:v>259.95129050984872</c:v>
                </c:pt>
                <c:pt idx="332">
                  <c:v>259.08231377627112</c:v>
                </c:pt>
                <c:pt idx="333">
                  <c:v>258.22058547245535</c:v>
                </c:pt>
                <c:pt idx="334">
                  <c:v>257.36604305954398</c:v>
                </c:pt>
                <c:pt idx="335">
                  <c:v>256.51862457216163</c:v>
                </c:pt>
                <c:pt idx="336">
                  <c:v>255.67826861260636</c:v>
                </c:pt>
                <c:pt idx="337">
                  <c:v>254.844914345109</c:v>
                </c:pt>
                <c:pt idx="338">
                  <c:v>254.01850149015905</c:v>
                </c:pt>
                <c:pt idx="339">
                  <c:v>253.19897031889622</c:v>
                </c:pt>
                <c:pt idx="340">
                  <c:v>252.3862616475669</c:v>
                </c:pt>
                <c:pt idx="341">
                  <c:v>251.58031683204464</c:v>
                </c:pt>
                <c:pt idx="342">
                  <c:v>250.78107776241359</c:v>
                </c:pt>
                <c:pt idx="343">
                  <c:v>249.98848685761433</c:v>
                </c:pt>
                <c:pt idx="344">
                  <c:v>249.20248706015107</c:v>
                </c:pt>
                <c:pt idx="345">
                  <c:v>248.4230218308594</c:v>
                </c:pt>
                <c:pt idx="346">
                  <c:v>247.65003514373393</c:v>
                </c:pt>
                <c:pt idx="347">
                  <c:v>246.88347148081479</c:v>
                </c:pt>
                <c:pt idx="348">
                  <c:v>246.12327582713249</c:v>
                </c:pt>
                <c:pt idx="349">
                  <c:v>245.36939366570996</c:v>
                </c:pt>
                <c:pt idx="350">
                  <c:v>244.62177097262153</c:v>
                </c:pt>
                <c:pt idx="351">
                  <c:v>243.88035421210765</c:v>
                </c:pt>
                <c:pt idx="352">
                  <c:v>243.1450903317448</c:v>
                </c:pt>
                <c:pt idx="353">
                  <c:v>242.41592675766989</c:v>
                </c:pt>
                <c:pt idx="354">
                  <c:v>241.69281138985843</c:v>
                </c:pt>
                <c:pt idx="355">
                  <c:v>240.97569259745561</c:v>
                </c:pt>
                <c:pt idx="356">
                  <c:v>240.26451921415975</c:v>
                </c:pt>
                <c:pt idx="357">
                  <c:v>239.55924053365754</c:v>
                </c:pt>
                <c:pt idx="358">
                  <c:v>238.85980630511003</c:v>
                </c:pt>
                <c:pt idx="359">
                  <c:v>268.16616672868906</c:v>
                </c:pt>
                <c:pt idx="360">
                  <c:v>267.22856298953644</c:v>
                </c:pt>
                <c:pt idx="361">
                  <c:v>266.29880148746395</c:v>
                </c:pt>
                <c:pt idx="362">
                  <c:v>265.37681421078514</c:v>
                </c:pt>
                <c:pt idx="363">
                  <c:v>264.46253377716602</c:v>
                </c:pt>
                <c:pt idx="364">
                  <c:v>263.5558934271599</c:v>
                </c:pt>
                <c:pt idx="365">
                  <c:v>262.65682701781907</c:v>
                </c:pt>
                <c:pt idx="366">
                  <c:v>261.76526901638181</c:v>
                </c:pt>
                <c:pt idx="367">
                  <c:v>260.88115449403409</c:v>
                </c:pt>
                <c:pt idx="368">
                  <c:v>260.00441911974451</c:v>
                </c:pt>
                <c:pt idx="369">
                  <c:v>259.13499915417191</c:v>
                </c:pt>
                <c:pt idx="370">
                  <c:v>258.27283144364429</c:v>
                </c:pt>
                <c:pt idx="371">
                  <c:v>257.41785341420842</c:v>
                </c:pt>
                <c:pt idx="372">
                  <c:v>256.57000306574866</c:v>
                </c:pt>
                <c:pt idx="373">
                  <c:v>255.7292189661745</c:v>
                </c:pt>
                <c:pt idx="374">
                  <c:v>254.89544024567567</c:v>
                </c:pt>
                <c:pt idx="375">
                  <c:v>254.0686065910441</c:v>
                </c:pt>
                <c:pt idx="376">
                  <c:v>253.24865824006142</c:v>
                </c:pt>
                <c:pt idx="377">
                  <c:v>252.43553597595152</c:v>
                </c:pt>
                <c:pt idx="378">
                  <c:v>251.62918112189718</c:v>
                </c:pt>
                <c:pt idx="379">
                  <c:v>250.82953553561967</c:v>
                </c:pt>
                <c:pt idx="380">
                  <c:v>250.03654160402087</c:v>
                </c:pt>
                <c:pt idx="381">
                  <c:v>249.25014223788665</c:v>
                </c:pt>
                <c:pt idx="382">
                  <c:v>248.47028086665108</c:v>
                </c:pt>
                <c:pt idx="383">
                  <c:v>247.69690143322038</c:v>
                </c:pt>
                <c:pt idx="384">
                  <c:v>246.92994838885585</c:v>
                </c:pt>
                <c:pt idx="385">
                  <c:v>246.16936668811519</c:v>
                </c:pt>
                <c:pt idx="386">
                  <c:v>245.41510178385121</c:v>
                </c:pt>
                <c:pt idx="387">
                  <c:v>244.66709962226716</c:v>
                </c:pt>
                <c:pt idx="388">
                  <c:v>243.92530663802822</c:v>
                </c:pt>
                <c:pt idx="389">
                  <c:v>243.18966974942805</c:v>
                </c:pt>
                <c:pt idx="390">
                  <c:v>242.4601363536099</c:v>
                </c:pt>
                <c:pt idx="391">
                  <c:v>241.73665432184143</c:v>
                </c:pt>
                <c:pt idx="392">
                  <c:v>241.01917199484274</c:v>
                </c:pt>
                <c:pt idx="393">
                  <c:v>240.30763817816657</c:v>
                </c:pt>
                <c:pt idx="394">
                  <c:v>239.60200213763039</c:v>
                </c:pt>
                <c:pt idx="395">
                  <c:v>238.90221359479935</c:v>
                </c:pt>
                <c:pt idx="396">
                  <c:v>238.20822272251968</c:v>
                </c:pt>
                <c:pt idx="397">
                  <c:v>237.5199801405017</c:v>
                </c:pt>
                <c:pt idx="398">
                  <c:v>236.83743691095205</c:v>
                </c:pt>
                <c:pt idx="399">
                  <c:v>266.16054453425409</c:v>
                </c:pt>
                <c:pt idx="400">
                  <c:v>265.23971309108185</c:v>
                </c:pt>
                <c:pt idx="401">
                  <c:v>264.32657847625723</c:v>
                </c:pt>
                <c:pt idx="402">
                  <c:v>263.42107402285581</c:v>
                </c:pt>
                <c:pt idx="403">
                  <c:v>262.52313367950393</c:v>
                </c:pt>
                <c:pt idx="404">
                  <c:v>261.63269200407723</c:v>
                </c:pt>
                <c:pt idx="405">
                  <c:v>260.7496841574731</c:v>
                </c:pt>
                <c:pt idx="406">
                  <c:v>259.87404589745677</c:v>
                </c:pt>
                <c:pt idx="407">
                  <c:v>259.0057135725794</c:v>
                </c:pt>
                <c:pt idx="408">
                  <c:v>258.14462411616785</c:v>
                </c:pt>
                <c:pt idx="409">
                  <c:v>257.29071504038444</c:v>
                </c:pt>
                <c:pt idx="410">
                  <c:v>256.44392443035628</c:v>
                </c:pt>
                <c:pt idx="411">
                  <c:v>255.60419093837299</c:v>
                </c:pt>
                <c:pt idx="412">
                  <c:v>254.77145377815182</c:v>
                </c:pt>
                <c:pt idx="413">
                  <c:v>253.94565271916932</c:v>
                </c:pt>
                <c:pt idx="414">
                  <c:v>253.12672808105879</c:v>
                </c:pt>
                <c:pt idx="415">
                  <c:v>252.31462072807241</c:v>
                </c:pt>
                <c:pt idx="416">
                  <c:v>251.50927206360737</c:v>
                </c:pt>
                <c:pt idx="417">
                  <c:v>250.71062402479475</c:v>
                </c:pt>
                <c:pt idx="418">
                  <c:v>249.91861907715099</c:v>
                </c:pt>
                <c:pt idx="419">
                  <c:v>249.13320020929035</c:v>
                </c:pt>
                <c:pt idx="420">
                  <c:v>248.35431092769804</c:v>
                </c:pt>
                <c:pt idx="421">
                  <c:v>247.58189525156311</c:v>
                </c:pt>
                <c:pt idx="422">
                  <c:v>246.81589770767016</c:v>
                </c:pt>
                <c:pt idx="423">
                  <c:v>246.05626332534925</c:v>
                </c:pt>
                <c:pt idx="424">
                  <c:v>245.30293763148308</c:v>
                </c:pt>
                <c:pt idx="425">
                  <c:v>244.55586664557089</c:v>
                </c:pt>
                <c:pt idx="426">
                  <c:v>243.81499687484805</c:v>
                </c:pt>
                <c:pt idx="427">
                  <c:v>243.08027530946094</c:v>
                </c:pt>
                <c:pt idx="428">
                  <c:v>242.35164941769608</c:v>
                </c:pt>
                <c:pt idx="429">
                  <c:v>241.62906714126299</c:v>
                </c:pt>
                <c:pt idx="430">
                  <c:v>240.91247689062993</c:v>
                </c:pt>
                <c:pt idx="431">
                  <c:v>240.2018275404121</c:v>
                </c:pt>
                <c:pt idx="432">
                  <c:v>239.49706842481115</c:v>
                </c:pt>
                <c:pt idx="433">
                  <c:v>238.7981493331059</c:v>
                </c:pt>
                <c:pt idx="434">
                  <c:v>238.1050205051931</c:v>
                </c:pt>
                <c:pt idx="435">
                  <c:v>237.41763262717785</c:v>
                </c:pt>
                <c:pt idx="436">
                  <c:v>236.73593682701303</c:v>
                </c:pt>
                <c:pt idx="437">
                  <c:v>236.05988467018702</c:v>
                </c:pt>
                <c:pt idx="438">
                  <c:v>235.38942815545906</c:v>
                </c:pt>
                <c:pt idx="439">
                  <c:v>264.72451971064174</c:v>
                </c:pt>
                <c:pt idx="440">
                  <c:v>263.81569034209684</c:v>
                </c:pt>
                <c:pt idx="441">
                  <c:v>262.9144538614479</c:v>
                </c:pt>
                <c:pt idx="442">
                  <c:v>262.02074456120312</c:v>
                </c:pt>
                <c:pt idx="443">
                  <c:v>261.13449733960374</c:v>
                </c:pt>
                <c:pt idx="444">
                  <c:v>260.25564769443815</c:v>
                </c:pt>
                <c:pt idx="445">
                  <c:v>259.38413171692849</c:v>
                </c:pt>
                <c:pt idx="446">
                  <c:v>258.51988608568945</c:v>
                </c:pt>
                <c:pt idx="447">
                  <c:v>257.66284806075743</c:v>
                </c:pt>
                <c:pt idx="448">
                  <c:v>256.81295547768963</c:v>
                </c:pt>
                <c:pt idx="449">
                  <c:v>255.97014674173201</c:v>
                </c:pt>
                <c:pt idx="450">
                  <c:v>255.13436082205504</c:v>
                </c:pt>
                <c:pt idx="451">
                  <c:v>254.30553724605647</c:v>
                </c:pt>
                <c:pt idx="452">
                  <c:v>253.48361609373015</c:v>
                </c:pt>
                <c:pt idx="453">
                  <c:v>252.66853799210003</c:v>
                </c:pt>
                <c:pt idx="454">
                  <c:v>251.86024410971834</c:v>
                </c:pt>
                <c:pt idx="455">
                  <c:v>251.0586761512273</c:v>
                </c:pt>
                <c:pt idx="456">
                  <c:v>250.26377635198327</c:v>
                </c:pt>
                <c:pt idx="457">
                  <c:v>249.47548747274263</c:v>
                </c:pt>
                <c:pt idx="458">
                  <c:v>248.69375279440865</c:v>
                </c:pt>
                <c:pt idx="459">
                  <c:v>247.91851611283829</c:v>
                </c:pt>
                <c:pt idx="460">
                  <c:v>247.14972173370825</c:v>
                </c:pt>
                <c:pt idx="461">
                  <c:v>246.38731446743964</c:v>
                </c:pt>
                <c:pt idx="462">
                  <c:v>245.63123962418024</c:v>
                </c:pt>
                <c:pt idx="463">
                  <c:v>244.88144300884366</c:v>
                </c:pt>
                <c:pt idx="464">
                  <c:v>244.13787091620472</c:v>
                </c:pt>
                <c:pt idx="465">
                  <c:v>243.40047012605029</c:v>
                </c:pt>
                <c:pt idx="466">
                  <c:v>242.66918789838479</c:v>
                </c:pt>
                <c:pt idx="467">
                  <c:v>241.94397196868965</c:v>
                </c:pt>
                <c:pt idx="468">
                  <c:v>241.22477054323608</c:v>
                </c:pt>
                <c:pt idx="469">
                  <c:v>240.51153229445038</c:v>
                </c:pt>
                <c:pt idx="470">
                  <c:v>239.80420635633115</c:v>
                </c:pt>
                <c:pt idx="471">
                  <c:v>239.10274231991778</c:v>
                </c:pt>
                <c:pt idx="472">
                  <c:v>238.40709022880932</c:v>
                </c:pt>
                <c:pt idx="473">
                  <c:v>237.71720057473337</c:v>
                </c:pt>
                <c:pt idx="474">
                  <c:v>237.03302429316415</c:v>
                </c:pt>
                <c:pt idx="475">
                  <c:v>236.35451275898919</c:v>
                </c:pt>
                <c:pt idx="476">
                  <c:v>235.68161778222395</c:v>
                </c:pt>
                <c:pt idx="477">
                  <c:v>235.0142916037739</c:v>
                </c:pt>
                <c:pt idx="478">
                  <c:v>234.35248689124322</c:v>
                </c:pt>
                <c:pt idx="479">
                  <c:v>263.69615673478972</c:v>
                </c:pt>
              </c:numCache>
            </c:numRef>
          </c:val>
          <c:smooth val="0"/>
          <c:extLst>
            <c:ext xmlns:c16="http://schemas.microsoft.com/office/drawing/2014/chart" uri="{C3380CC4-5D6E-409C-BE32-E72D297353CC}">
              <c16:uniqueId val="{00000000-32CA-4054-BF8E-83C51A380573}"/>
            </c:ext>
          </c:extLst>
        </c:ser>
        <c:dLbls>
          <c:showLegendKey val="0"/>
          <c:showVal val="0"/>
          <c:showCatName val="0"/>
          <c:showSerName val="0"/>
          <c:showPercent val="0"/>
          <c:showBubbleSize val="0"/>
        </c:dLbls>
        <c:marker val="1"/>
        <c:smooth val="0"/>
        <c:axId val="1755293191"/>
        <c:axId val="1755277831"/>
      </c:lineChart>
      <c:catAx>
        <c:axId val="2134919175"/>
        <c:scaling>
          <c:orientation val="minMax"/>
        </c:scaling>
        <c:delete val="0"/>
        <c:axPos val="b"/>
        <c:numFmt formatCode="[$-F400]h:mm:ss\ AM/P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958599"/>
        <c:crosses val="autoZero"/>
        <c:auto val="1"/>
        <c:lblAlgn val="ctr"/>
        <c:lblOffset val="100"/>
        <c:noMultiLvlLbl val="0"/>
      </c:catAx>
      <c:valAx>
        <c:axId val="2134958599"/>
        <c:scaling>
          <c:orientation val="minMax"/>
          <c:max val="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919175"/>
        <c:crosses val="autoZero"/>
        <c:crossBetween val="between"/>
      </c:valAx>
      <c:valAx>
        <c:axId val="1755277831"/>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5293191"/>
        <c:crosses val="max"/>
        <c:crossBetween val="between"/>
      </c:valAx>
      <c:catAx>
        <c:axId val="1755293191"/>
        <c:scaling>
          <c:orientation val="minMax"/>
        </c:scaling>
        <c:delete val="1"/>
        <c:axPos val="b"/>
        <c:numFmt formatCode="h:mm;@" sourceLinked="1"/>
        <c:majorTickMark val="out"/>
        <c:minorTickMark val="none"/>
        <c:tickLblPos val="nextTo"/>
        <c:crossAx val="175527783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'Uurlijkse calc'!$AC$2</c:f>
              <c:strCache>
                <c:ptCount val="1"/>
                <c:pt idx="0">
                  <c:v>integrated kcal</c:v>
                </c:pt>
              </c:strCache>
            </c:strRef>
          </c:tx>
          <c:spPr>
            <a:ln w="28575" cap="rnd">
              <a:solidFill>
                <a:srgbClr val="4F81BD"/>
              </a:solidFill>
              <a:prstDash val="solid"/>
              <a:round/>
            </a:ln>
            <a:effectLst/>
          </c:spPr>
          <c:marker>
            <c:symbol val="none"/>
          </c:marker>
          <c:cat>
            <c:numRef>
              <c:f>'Uurlijkse calc'!$E$3:$E$482</c:f>
              <c:numCache>
                <c:formatCode>h:mm;@</c:formatCode>
                <c:ptCount val="480"/>
                <c:pt idx="0">
                  <c:v>1.0006944444444446</c:v>
                </c:pt>
                <c:pt idx="1">
                  <c:v>1.0013888888888891</c:v>
                </c:pt>
                <c:pt idx="2">
                  <c:v>1.0020833333333337</c:v>
                </c:pt>
                <c:pt idx="3">
                  <c:v>1.0027777777777782</c:v>
                </c:pt>
                <c:pt idx="4">
                  <c:v>1.0034722222222228</c:v>
                </c:pt>
                <c:pt idx="5">
                  <c:v>1.0041666666666673</c:v>
                </c:pt>
                <c:pt idx="6">
                  <c:v>1.0048611111111119</c:v>
                </c:pt>
                <c:pt idx="7">
                  <c:v>1.0055555555555564</c:v>
                </c:pt>
                <c:pt idx="8">
                  <c:v>1.006250000000001</c:v>
                </c:pt>
                <c:pt idx="9">
                  <c:v>1.0069444444444455</c:v>
                </c:pt>
                <c:pt idx="10">
                  <c:v>1.0076388888888901</c:v>
                </c:pt>
                <c:pt idx="11">
                  <c:v>1.0083333333333346</c:v>
                </c:pt>
                <c:pt idx="12">
                  <c:v>1.0090277777777792</c:v>
                </c:pt>
                <c:pt idx="13">
                  <c:v>1.0097222222222237</c:v>
                </c:pt>
                <c:pt idx="14">
                  <c:v>1.0104166666666683</c:v>
                </c:pt>
                <c:pt idx="15">
                  <c:v>1.0111111111111128</c:v>
                </c:pt>
                <c:pt idx="16">
                  <c:v>1.0118055555555574</c:v>
                </c:pt>
                <c:pt idx="17">
                  <c:v>1.012500000000002</c:v>
                </c:pt>
                <c:pt idx="18">
                  <c:v>1.0131944444444465</c:v>
                </c:pt>
                <c:pt idx="19">
                  <c:v>1.0138888888888911</c:v>
                </c:pt>
                <c:pt idx="20">
                  <c:v>1.0145833333333356</c:v>
                </c:pt>
                <c:pt idx="21">
                  <c:v>1.0152777777777802</c:v>
                </c:pt>
                <c:pt idx="22">
                  <c:v>1.0159722222222247</c:v>
                </c:pt>
                <c:pt idx="23">
                  <c:v>1.0166666666666693</c:v>
                </c:pt>
                <c:pt idx="24">
                  <c:v>1.0173611111111138</c:v>
                </c:pt>
                <c:pt idx="25">
                  <c:v>1.0180555555555584</c:v>
                </c:pt>
                <c:pt idx="26">
                  <c:v>1.0187500000000029</c:v>
                </c:pt>
                <c:pt idx="27">
                  <c:v>1.0194444444444475</c:v>
                </c:pt>
                <c:pt idx="28">
                  <c:v>1.020138888888892</c:v>
                </c:pt>
                <c:pt idx="29">
                  <c:v>1.0208333333333366</c:v>
                </c:pt>
                <c:pt idx="30">
                  <c:v>1.0215277777777811</c:v>
                </c:pt>
                <c:pt idx="31">
                  <c:v>1.0222222222222257</c:v>
                </c:pt>
                <c:pt idx="32">
                  <c:v>1.0229166666666702</c:v>
                </c:pt>
                <c:pt idx="33">
                  <c:v>1.0236111111111148</c:v>
                </c:pt>
                <c:pt idx="34">
                  <c:v>1.0243055555555594</c:v>
                </c:pt>
                <c:pt idx="35">
                  <c:v>1.0250000000000039</c:v>
                </c:pt>
                <c:pt idx="36">
                  <c:v>1.0256944444444485</c:v>
                </c:pt>
                <c:pt idx="37">
                  <c:v>1.026388888888893</c:v>
                </c:pt>
                <c:pt idx="38">
                  <c:v>1.0270833333333376</c:v>
                </c:pt>
                <c:pt idx="39">
                  <c:v>1.0277777777777821</c:v>
                </c:pt>
                <c:pt idx="40">
                  <c:v>1.0284722222222267</c:v>
                </c:pt>
                <c:pt idx="41">
                  <c:v>1.0291666666666712</c:v>
                </c:pt>
                <c:pt idx="42">
                  <c:v>1.0298611111111158</c:v>
                </c:pt>
                <c:pt idx="43">
                  <c:v>1.0305555555555603</c:v>
                </c:pt>
                <c:pt idx="44">
                  <c:v>1.0312500000000049</c:v>
                </c:pt>
                <c:pt idx="45">
                  <c:v>1.0319444444444494</c:v>
                </c:pt>
                <c:pt idx="46">
                  <c:v>1.032638888888894</c:v>
                </c:pt>
                <c:pt idx="47">
                  <c:v>1.0333333333333385</c:v>
                </c:pt>
                <c:pt idx="48">
                  <c:v>1.0340277777777831</c:v>
                </c:pt>
                <c:pt idx="49">
                  <c:v>1.0347222222222276</c:v>
                </c:pt>
                <c:pt idx="50">
                  <c:v>1.0354166666666722</c:v>
                </c:pt>
                <c:pt idx="51">
                  <c:v>1.0361111111111168</c:v>
                </c:pt>
                <c:pt idx="52">
                  <c:v>1.0368055555555613</c:v>
                </c:pt>
                <c:pt idx="53">
                  <c:v>1.0375000000000059</c:v>
                </c:pt>
                <c:pt idx="54">
                  <c:v>1.0381944444444504</c:v>
                </c:pt>
                <c:pt idx="55">
                  <c:v>1.038888888888895</c:v>
                </c:pt>
                <c:pt idx="56">
                  <c:v>1.0395833333333395</c:v>
                </c:pt>
                <c:pt idx="57">
                  <c:v>1.0402777777777841</c:v>
                </c:pt>
                <c:pt idx="58">
                  <c:v>1.0409722222222286</c:v>
                </c:pt>
                <c:pt idx="59">
                  <c:v>1.0416666666666732</c:v>
                </c:pt>
                <c:pt idx="60">
                  <c:v>1.0423611111111177</c:v>
                </c:pt>
                <c:pt idx="61">
                  <c:v>1.0430555555555623</c:v>
                </c:pt>
                <c:pt idx="62">
                  <c:v>1.0437500000000068</c:v>
                </c:pt>
                <c:pt idx="63">
                  <c:v>1.0444444444444514</c:v>
                </c:pt>
                <c:pt idx="64">
                  <c:v>1.0451388888888959</c:v>
                </c:pt>
                <c:pt idx="65">
                  <c:v>1.0458333333333405</c:v>
                </c:pt>
                <c:pt idx="66">
                  <c:v>1.0465277777777851</c:v>
                </c:pt>
                <c:pt idx="67">
                  <c:v>1.0472222222222296</c:v>
                </c:pt>
                <c:pt idx="68">
                  <c:v>1.0479166666666742</c:v>
                </c:pt>
                <c:pt idx="69">
                  <c:v>1.0486111111111187</c:v>
                </c:pt>
                <c:pt idx="70">
                  <c:v>1.0493055555555633</c:v>
                </c:pt>
                <c:pt idx="71">
                  <c:v>1.0500000000000078</c:v>
                </c:pt>
                <c:pt idx="72">
                  <c:v>1.0506944444444524</c:v>
                </c:pt>
                <c:pt idx="73">
                  <c:v>1.0513888888888969</c:v>
                </c:pt>
                <c:pt idx="74">
                  <c:v>1.0520833333333415</c:v>
                </c:pt>
                <c:pt idx="75">
                  <c:v>1.052777777777786</c:v>
                </c:pt>
                <c:pt idx="76">
                  <c:v>1.0534722222222306</c:v>
                </c:pt>
                <c:pt idx="77">
                  <c:v>1.0541666666666751</c:v>
                </c:pt>
                <c:pt idx="78">
                  <c:v>1.0548611111111197</c:v>
                </c:pt>
                <c:pt idx="79">
                  <c:v>1.0555555555555642</c:v>
                </c:pt>
                <c:pt idx="80">
                  <c:v>1.0562500000000088</c:v>
                </c:pt>
                <c:pt idx="81">
                  <c:v>1.0569444444444533</c:v>
                </c:pt>
                <c:pt idx="82">
                  <c:v>1.0576388888888979</c:v>
                </c:pt>
                <c:pt idx="83">
                  <c:v>1.0583333333333425</c:v>
                </c:pt>
                <c:pt idx="84">
                  <c:v>1.059027777777787</c:v>
                </c:pt>
                <c:pt idx="85">
                  <c:v>1.0597222222222316</c:v>
                </c:pt>
                <c:pt idx="86">
                  <c:v>1.0604166666666761</c:v>
                </c:pt>
                <c:pt idx="87">
                  <c:v>1.0611111111111207</c:v>
                </c:pt>
                <c:pt idx="88">
                  <c:v>1.0618055555555652</c:v>
                </c:pt>
                <c:pt idx="89">
                  <c:v>1.0625000000000098</c:v>
                </c:pt>
                <c:pt idx="90">
                  <c:v>1.0631944444444543</c:v>
                </c:pt>
                <c:pt idx="91">
                  <c:v>1.0638888888888989</c:v>
                </c:pt>
                <c:pt idx="92">
                  <c:v>1.0645833333333434</c:v>
                </c:pt>
                <c:pt idx="93">
                  <c:v>1.065277777777788</c:v>
                </c:pt>
                <c:pt idx="94">
                  <c:v>1.0659722222222325</c:v>
                </c:pt>
                <c:pt idx="95">
                  <c:v>1.0666666666666771</c:v>
                </c:pt>
                <c:pt idx="96">
                  <c:v>1.0673611111111216</c:v>
                </c:pt>
                <c:pt idx="97">
                  <c:v>1.0680555555555662</c:v>
                </c:pt>
                <c:pt idx="98">
                  <c:v>1.0687500000000107</c:v>
                </c:pt>
                <c:pt idx="99">
                  <c:v>1.0694444444444553</c:v>
                </c:pt>
                <c:pt idx="100">
                  <c:v>1.0701388888888999</c:v>
                </c:pt>
                <c:pt idx="101">
                  <c:v>1.0708333333333444</c:v>
                </c:pt>
                <c:pt idx="102">
                  <c:v>1.071527777777789</c:v>
                </c:pt>
                <c:pt idx="103">
                  <c:v>1.0722222222222335</c:v>
                </c:pt>
                <c:pt idx="104">
                  <c:v>1.0729166666666781</c:v>
                </c:pt>
                <c:pt idx="105">
                  <c:v>1.0736111111111226</c:v>
                </c:pt>
                <c:pt idx="106">
                  <c:v>1.0743055555555672</c:v>
                </c:pt>
                <c:pt idx="107">
                  <c:v>1.0750000000000117</c:v>
                </c:pt>
                <c:pt idx="108">
                  <c:v>1.0756944444444563</c:v>
                </c:pt>
                <c:pt idx="109">
                  <c:v>1.0763888888889008</c:v>
                </c:pt>
                <c:pt idx="110">
                  <c:v>1.0770833333333454</c:v>
                </c:pt>
                <c:pt idx="111">
                  <c:v>1.0777777777777899</c:v>
                </c:pt>
                <c:pt idx="112">
                  <c:v>1.0784722222222345</c:v>
                </c:pt>
                <c:pt idx="113">
                  <c:v>1.079166666666679</c:v>
                </c:pt>
                <c:pt idx="114">
                  <c:v>1.0798611111111236</c:v>
                </c:pt>
                <c:pt idx="115">
                  <c:v>1.0805555555555681</c:v>
                </c:pt>
                <c:pt idx="116">
                  <c:v>1.0812500000000127</c:v>
                </c:pt>
                <c:pt idx="117">
                  <c:v>1.0819444444444573</c:v>
                </c:pt>
                <c:pt idx="118">
                  <c:v>1.0826388888889018</c:v>
                </c:pt>
                <c:pt idx="119">
                  <c:v>1.0833333333333464</c:v>
                </c:pt>
                <c:pt idx="120">
                  <c:v>1.0840277777777909</c:v>
                </c:pt>
                <c:pt idx="121">
                  <c:v>1.0847222222222355</c:v>
                </c:pt>
                <c:pt idx="122">
                  <c:v>1.08541666666668</c:v>
                </c:pt>
                <c:pt idx="123">
                  <c:v>1.0861111111111246</c:v>
                </c:pt>
                <c:pt idx="124">
                  <c:v>1.0868055555555691</c:v>
                </c:pt>
                <c:pt idx="125">
                  <c:v>1.0875000000000137</c:v>
                </c:pt>
                <c:pt idx="126">
                  <c:v>1.0881944444444582</c:v>
                </c:pt>
                <c:pt idx="127">
                  <c:v>1.0888888888889028</c:v>
                </c:pt>
                <c:pt idx="128">
                  <c:v>1.0895833333333473</c:v>
                </c:pt>
                <c:pt idx="129">
                  <c:v>1.0902777777777919</c:v>
                </c:pt>
                <c:pt idx="130">
                  <c:v>1.0909722222222364</c:v>
                </c:pt>
                <c:pt idx="131">
                  <c:v>1.091666666666681</c:v>
                </c:pt>
                <c:pt idx="132">
                  <c:v>1.0923611111111255</c:v>
                </c:pt>
                <c:pt idx="133">
                  <c:v>1.0930555555555701</c:v>
                </c:pt>
                <c:pt idx="134">
                  <c:v>1.0937500000000147</c:v>
                </c:pt>
                <c:pt idx="135">
                  <c:v>1.0944444444444592</c:v>
                </c:pt>
                <c:pt idx="136">
                  <c:v>1.0951388888889038</c:v>
                </c:pt>
                <c:pt idx="137">
                  <c:v>1.0958333333333483</c:v>
                </c:pt>
                <c:pt idx="138">
                  <c:v>1.0965277777777929</c:v>
                </c:pt>
                <c:pt idx="139">
                  <c:v>1.0972222222222374</c:v>
                </c:pt>
                <c:pt idx="140">
                  <c:v>1.097916666666682</c:v>
                </c:pt>
                <c:pt idx="141">
                  <c:v>1.0986111111111265</c:v>
                </c:pt>
                <c:pt idx="142">
                  <c:v>1.0993055555555711</c:v>
                </c:pt>
                <c:pt idx="143">
                  <c:v>1.1000000000000156</c:v>
                </c:pt>
                <c:pt idx="144">
                  <c:v>1.1006944444444602</c:v>
                </c:pt>
                <c:pt idx="145">
                  <c:v>1.1013888888889047</c:v>
                </c:pt>
                <c:pt idx="146">
                  <c:v>1.1020833333333493</c:v>
                </c:pt>
                <c:pt idx="147">
                  <c:v>1.1027777777777938</c:v>
                </c:pt>
                <c:pt idx="148">
                  <c:v>1.1034722222222384</c:v>
                </c:pt>
                <c:pt idx="149">
                  <c:v>1.1041666666666829</c:v>
                </c:pt>
                <c:pt idx="150">
                  <c:v>1.1048611111111275</c:v>
                </c:pt>
                <c:pt idx="151">
                  <c:v>1.1055555555555721</c:v>
                </c:pt>
                <c:pt idx="152">
                  <c:v>1.1062500000000166</c:v>
                </c:pt>
                <c:pt idx="153">
                  <c:v>1.1069444444444612</c:v>
                </c:pt>
                <c:pt idx="154">
                  <c:v>1.1076388888889057</c:v>
                </c:pt>
                <c:pt idx="155">
                  <c:v>1.1083333333333503</c:v>
                </c:pt>
                <c:pt idx="156">
                  <c:v>1.1090277777777948</c:v>
                </c:pt>
                <c:pt idx="157">
                  <c:v>1.1097222222222394</c:v>
                </c:pt>
                <c:pt idx="158">
                  <c:v>1.1104166666666839</c:v>
                </c:pt>
                <c:pt idx="159">
                  <c:v>1.1111111111111285</c:v>
                </c:pt>
                <c:pt idx="160">
                  <c:v>1.111805555555573</c:v>
                </c:pt>
                <c:pt idx="161">
                  <c:v>1.1125000000000176</c:v>
                </c:pt>
                <c:pt idx="162">
                  <c:v>1.1131944444444621</c:v>
                </c:pt>
                <c:pt idx="163">
                  <c:v>1.1138888888889067</c:v>
                </c:pt>
                <c:pt idx="164">
                  <c:v>1.1145833333333512</c:v>
                </c:pt>
                <c:pt idx="165">
                  <c:v>1.1152777777777958</c:v>
                </c:pt>
                <c:pt idx="166">
                  <c:v>1.1159722222222404</c:v>
                </c:pt>
                <c:pt idx="167">
                  <c:v>1.1166666666666849</c:v>
                </c:pt>
                <c:pt idx="168">
                  <c:v>1.1173611111111295</c:v>
                </c:pt>
                <c:pt idx="169">
                  <c:v>1.118055555555574</c:v>
                </c:pt>
                <c:pt idx="170">
                  <c:v>1.1187500000000186</c:v>
                </c:pt>
                <c:pt idx="171">
                  <c:v>1.1194444444444631</c:v>
                </c:pt>
                <c:pt idx="172">
                  <c:v>1.1201388888889077</c:v>
                </c:pt>
                <c:pt idx="173">
                  <c:v>1.1208333333333522</c:v>
                </c:pt>
                <c:pt idx="174">
                  <c:v>1.1215277777777968</c:v>
                </c:pt>
                <c:pt idx="175">
                  <c:v>1.1222222222222413</c:v>
                </c:pt>
                <c:pt idx="176">
                  <c:v>1.1229166666666859</c:v>
                </c:pt>
                <c:pt idx="177">
                  <c:v>1.1236111111111304</c:v>
                </c:pt>
                <c:pt idx="178">
                  <c:v>1.124305555555575</c:v>
                </c:pt>
                <c:pt idx="179">
                  <c:v>1.1250000000000195</c:v>
                </c:pt>
                <c:pt idx="180">
                  <c:v>1.1256944444444641</c:v>
                </c:pt>
                <c:pt idx="181">
                  <c:v>1.1263888888889086</c:v>
                </c:pt>
                <c:pt idx="182">
                  <c:v>1.1270833333333532</c:v>
                </c:pt>
                <c:pt idx="183">
                  <c:v>1.1277777777777978</c:v>
                </c:pt>
                <c:pt idx="184">
                  <c:v>1.1284722222222423</c:v>
                </c:pt>
                <c:pt idx="185">
                  <c:v>1.1291666666666869</c:v>
                </c:pt>
                <c:pt idx="186">
                  <c:v>1.1298611111111314</c:v>
                </c:pt>
                <c:pt idx="187">
                  <c:v>1.130555555555576</c:v>
                </c:pt>
                <c:pt idx="188">
                  <c:v>1.1312500000000205</c:v>
                </c:pt>
                <c:pt idx="189">
                  <c:v>1.1319444444444651</c:v>
                </c:pt>
                <c:pt idx="190">
                  <c:v>1.1326388888889096</c:v>
                </c:pt>
                <c:pt idx="191">
                  <c:v>1.1333333333333542</c:v>
                </c:pt>
                <c:pt idx="192">
                  <c:v>1.1340277777777987</c:v>
                </c:pt>
                <c:pt idx="193">
                  <c:v>1.1347222222222433</c:v>
                </c:pt>
                <c:pt idx="194">
                  <c:v>1.1354166666666878</c:v>
                </c:pt>
                <c:pt idx="195">
                  <c:v>1.1361111111111324</c:v>
                </c:pt>
                <c:pt idx="196">
                  <c:v>1.1368055555555769</c:v>
                </c:pt>
                <c:pt idx="197">
                  <c:v>1.1375000000000215</c:v>
                </c:pt>
                <c:pt idx="198">
                  <c:v>1.138194444444466</c:v>
                </c:pt>
                <c:pt idx="199">
                  <c:v>1.1388888888889106</c:v>
                </c:pt>
                <c:pt idx="200">
                  <c:v>1.1395833333333552</c:v>
                </c:pt>
                <c:pt idx="201">
                  <c:v>1.1402777777777997</c:v>
                </c:pt>
                <c:pt idx="202">
                  <c:v>1.1409722222222443</c:v>
                </c:pt>
                <c:pt idx="203">
                  <c:v>1.1416666666666888</c:v>
                </c:pt>
                <c:pt idx="204">
                  <c:v>1.1423611111111334</c:v>
                </c:pt>
                <c:pt idx="205">
                  <c:v>1.1430555555555779</c:v>
                </c:pt>
                <c:pt idx="206">
                  <c:v>1.1437500000000225</c:v>
                </c:pt>
                <c:pt idx="207">
                  <c:v>1.144444444444467</c:v>
                </c:pt>
                <c:pt idx="208">
                  <c:v>1.1451388888889116</c:v>
                </c:pt>
                <c:pt idx="209">
                  <c:v>1.1458333333333561</c:v>
                </c:pt>
                <c:pt idx="210">
                  <c:v>1.1465277777778007</c:v>
                </c:pt>
                <c:pt idx="211">
                  <c:v>1.1472222222222452</c:v>
                </c:pt>
                <c:pt idx="212">
                  <c:v>1.1479166666666898</c:v>
                </c:pt>
                <c:pt idx="213">
                  <c:v>1.1486111111111343</c:v>
                </c:pt>
                <c:pt idx="214">
                  <c:v>1.1493055555555789</c:v>
                </c:pt>
                <c:pt idx="215">
                  <c:v>1.1500000000000234</c:v>
                </c:pt>
                <c:pt idx="216">
                  <c:v>1.150694444444468</c:v>
                </c:pt>
                <c:pt idx="217">
                  <c:v>1.1513888888889126</c:v>
                </c:pt>
                <c:pt idx="218">
                  <c:v>1.1520833333333571</c:v>
                </c:pt>
                <c:pt idx="219">
                  <c:v>1.1527777777778017</c:v>
                </c:pt>
                <c:pt idx="220">
                  <c:v>1.1534722222222462</c:v>
                </c:pt>
                <c:pt idx="221">
                  <c:v>1.1541666666666908</c:v>
                </c:pt>
                <c:pt idx="222">
                  <c:v>1.1548611111111353</c:v>
                </c:pt>
                <c:pt idx="223">
                  <c:v>1.1555555555555799</c:v>
                </c:pt>
                <c:pt idx="224">
                  <c:v>1.1562500000000244</c:v>
                </c:pt>
                <c:pt idx="225">
                  <c:v>1.156944444444469</c:v>
                </c:pt>
                <c:pt idx="226">
                  <c:v>1.1576388888889135</c:v>
                </c:pt>
                <c:pt idx="227">
                  <c:v>1.1583333333333581</c:v>
                </c:pt>
                <c:pt idx="228">
                  <c:v>1.1590277777778026</c:v>
                </c:pt>
                <c:pt idx="229">
                  <c:v>1.1597222222222472</c:v>
                </c:pt>
                <c:pt idx="230">
                  <c:v>1.1604166666666917</c:v>
                </c:pt>
                <c:pt idx="231">
                  <c:v>1.1611111111111363</c:v>
                </c:pt>
                <c:pt idx="232">
                  <c:v>1.1618055555555808</c:v>
                </c:pt>
                <c:pt idx="233">
                  <c:v>1.1625000000000254</c:v>
                </c:pt>
                <c:pt idx="234">
                  <c:v>1.16319444444447</c:v>
                </c:pt>
                <c:pt idx="235">
                  <c:v>1.1638888888889145</c:v>
                </c:pt>
                <c:pt idx="236">
                  <c:v>1.1645833333333591</c:v>
                </c:pt>
                <c:pt idx="237">
                  <c:v>1.1652777777778036</c:v>
                </c:pt>
                <c:pt idx="238">
                  <c:v>1.1659722222222482</c:v>
                </c:pt>
                <c:pt idx="239">
                  <c:v>1.1666666666666927</c:v>
                </c:pt>
                <c:pt idx="240">
                  <c:v>1.1673611111111373</c:v>
                </c:pt>
                <c:pt idx="241">
                  <c:v>1.1680555555555818</c:v>
                </c:pt>
                <c:pt idx="242">
                  <c:v>1.1687500000000264</c:v>
                </c:pt>
                <c:pt idx="243">
                  <c:v>1.1694444444444709</c:v>
                </c:pt>
                <c:pt idx="244">
                  <c:v>1.1701388888889155</c:v>
                </c:pt>
                <c:pt idx="245">
                  <c:v>1.17083333333336</c:v>
                </c:pt>
                <c:pt idx="246">
                  <c:v>1.1715277777778046</c:v>
                </c:pt>
                <c:pt idx="247">
                  <c:v>1.1722222222222491</c:v>
                </c:pt>
                <c:pt idx="248">
                  <c:v>1.1729166666666937</c:v>
                </c:pt>
                <c:pt idx="249">
                  <c:v>1.1736111111111382</c:v>
                </c:pt>
                <c:pt idx="250">
                  <c:v>1.1743055555555828</c:v>
                </c:pt>
                <c:pt idx="251">
                  <c:v>1.1750000000000274</c:v>
                </c:pt>
                <c:pt idx="252">
                  <c:v>1.1756944444444719</c:v>
                </c:pt>
                <c:pt idx="253">
                  <c:v>1.1763888888889165</c:v>
                </c:pt>
                <c:pt idx="254">
                  <c:v>1.177083333333361</c:v>
                </c:pt>
                <c:pt idx="255">
                  <c:v>1.1777777777778056</c:v>
                </c:pt>
                <c:pt idx="256">
                  <c:v>1.1784722222222501</c:v>
                </c:pt>
                <c:pt idx="257">
                  <c:v>1.1791666666666947</c:v>
                </c:pt>
                <c:pt idx="258">
                  <c:v>1.1798611111111392</c:v>
                </c:pt>
                <c:pt idx="259">
                  <c:v>1.1805555555555838</c:v>
                </c:pt>
                <c:pt idx="260">
                  <c:v>1.1812500000000283</c:v>
                </c:pt>
                <c:pt idx="261">
                  <c:v>1.1819444444444729</c:v>
                </c:pt>
                <c:pt idx="262">
                  <c:v>1.1826388888889174</c:v>
                </c:pt>
                <c:pt idx="263">
                  <c:v>1.183333333333362</c:v>
                </c:pt>
                <c:pt idx="264">
                  <c:v>1.1840277777778065</c:v>
                </c:pt>
                <c:pt idx="265">
                  <c:v>1.1847222222222511</c:v>
                </c:pt>
                <c:pt idx="266">
                  <c:v>1.1854166666666957</c:v>
                </c:pt>
                <c:pt idx="267">
                  <c:v>1.1861111111111402</c:v>
                </c:pt>
                <c:pt idx="268">
                  <c:v>1.1868055555555848</c:v>
                </c:pt>
                <c:pt idx="269">
                  <c:v>1.1875000000000293</c:v>
                </c:pt>
                <c:pt idx="270">
                  <c:v>1.1881944444444739</c:v>
                </c:pt>
                <c:pt idx="271">
                  <c:v>1.1888888888889184</c:v>
                </c:pt>
                <c:pt idx="272">
                  <c:v>1.189583333333363</c:v>
                </c:pt>
                <c:pt idx="273">
                  <c:v>1.1902777777778075</c:v>
                </c:pt>
                <c:pt idx="274">
                  <c:v>1.1909722222222521</c:v>
                </c:pt>
                <c:pt idx="275">
                  <c:v>1.1916666666666966</c:v>
                </c:pt>
                <c:pt idx="276">
                  <c:v>1.1923611111111412</c:v>
                </c:pt>
                <c:pt idx="277">
                  <c:v>1.1930555555555857</c:v>
                </c:pt>
                <c:pt idx="278">
                  <c:v>1.1937500000000303</c:v>
                </c:pt>
                <c:pt idx="279">
                  <c:v>1.1944444444444748</c:v>
                </c:pt>
                <c:pt idx="280">
                  <c:v>1.1951388888889194</c:v>
                </c:pt>
                <c:pt idx="281">
                  <c:v>1.1958333333333639</c:v>
                </c:pt>
                <c:pt idx="282">
                  <c:v>1.1965277777778085</c:v>
                </c:pt>
                <c:pt idx="283">
                  <c:v>1.1972222222222531</c:v>
                </c:pt>
                <c:pt idx="284">
                  <c:v>1.1979166666666976</c:v>
                </c:pt>
                <c:pt idx="285">
                  <c:v>1.1986111111111422</c:v>
                </c:pt>
                <c:pt idx="286">
                  <c:v>1.1993055555555867</c:v>
                </c:pt>
                <c:pt idx="287">
                  <c:v>1.2000000000000313</c:v>
                </c:pt>
                <c:pt idx="288">
                  <c:v>1.2006944444444758</c:v>
                </c:pt>
                <c:pt idx="289">
                  <c:v>1.2013888888889204</c:v>
                </c:pt>
                <c:pt idx="290">
                  <c:v>1.2020833333333649</c:v>
                </c:pt>
                <c:pt idx="291">
                  <c:v>1.2027777777778095</c:v>
                </c:pt>
                <c:pt idx="292">
                  <c:v>1.203472222222254</c:v>
                </c:pt>
                <c:pt idx="293">
                  <c:v>1.2041666666666986</c:v>
                </c:pt>
                <c:pt idx="294">
                  <c:v>1.2048611111111431</c:v>
                </c:pt>
                <c:pt idx="295">
                  <c:v>1.2055555555555877</c:v>
                </c:pt>
                <c:pt idx="296">
                  <c:v>1.2062500000000322</c:v>
                </c:pt>
                <c:pt idx="297">
                  <c:v>1.2069444444444768</c:v>
                </c:pt>
                <c:pt idx="298">
                  <c:v>1.2076388888889213</c:v>
                </c:pt>
                <c:pt idx="299">
                  <c:v>1.2083333333333659</c:v>
                </c:pt>
                <c:pt idx="300">
                  <c:v>1.2090277777778105</c:v>
                </c:pt>
                <c:pt idx="301">
                  <c:v>1.209722222222255</c:v>
                </c:pt>
                <c:pt idx="302">
                  <c:v>1.2104166666666996</c:v>
                </c:pt>
                <c:pt idx="303">
                  <c:v>1.2111111111111441</c:v>
                </c:pt>
                <c:pt idx="304">
                  <c:v>1.2118055555555887</c:v>
                </c:pt>
                <c:pt idx="305">
                  <c:v>1.2125000000000332</c:v>
                </c:pt>
                <c:pt idx="306">
                  <c:v>1.2131944444444778</c:v>
                </c:pt>
                <c:pt idx="307">
                  <c:v>1.2138888888889223</c:v>
                </c:pt>
                <c:pt idx="308">
                  <c:v>1.2145833333333669</c:v>
                </c:pt>
                <c:pt idx="309">
                  <c:v>1.2152777777778114</c:v>
                </c:pt>
                <c:pt idx="310">
                  <c:v>1.215972222222256</c:v>
                </c:pt>
                <c:pt idx="311">
                  <c:v>1.2166666666667005</c:v>
                </c:pt>
                <c:pt idx="312">
                  <c:v>1.2173611111111451</c:v>
                </c:pt>
                <c:pt idx="313">
                  <c:v>1.2180555555555896</c:v>
                </c:pt>
                <c:pt idx="314">
                  <c:v>1.2187500000000342</c:v>
                </c:pt>
                <c:pt idx="315">
                  <c:v>1.2194444444444787</c:v>
                </c:pt>
                <c:pt idx="316">
                  <c:v>1.2201388888889233</c:v>
                </c:pt>
                <c:pt idx="317">
                  <c:v>1.2208333333333679</c:v>
                </c:pt>
                <c:pt idx="318">
                  <c:v>1.2215277777778124</c:v>
                </c:pt>
                <c:pt idx="319">
                  <c:v>1.222222222222257</c:v>
                </c:pt>
                <c:pt idx="320">
                  <c:v>1.2229166666667015</c:v>
                </c:pt>
                <c:pt idx="321">
                  <c:v>1.2236111111111461</c:v>
                </c:pt>
                <c:pt idx="322">
                  <c:v>1.2243055555555906</c:v>
                </c:pt>
                <c:pt idx="323">
                  <c:v>1.2250000000000352</c:v>
                </c:pt>
                <c:pt idx="324">
                  <c:v>1.2256944444444797</c:v>
                </c:pt>
                <c:pt idx="325">
                  <c:v>1.2263888888889243</c:v>
                </c:pt>
                <c:pt idx="326">
                  <c:v>1.2270833333333688</c:v>
                </c:pt>
                <c:pt idx="327">
                  <c:v>1.2277777777778134</c:v>
                </c:pt>
                <c:pt idx="328">
                  <c:v>1.2284722222222579</c:v>
                </c:pt>
                <c:pt idx="329">
                  <c:v>1.2291666666667025</c:v>
                </c:pt>
                <c:pt idx="330">
                  <c:v>1.229861111111147</c:v>
                </c:pt>
                <c:pt idx="331">
                  <c:v>1.2305555555555916</c:v>
                </c:pt>
                <c:pt idx="332">
                  <c:v>1.2312500000000361</c:v>
                </c:pt>
                <c:pt idx="333">
                  <c:v>1.2319444444444807</c:v>
                </c:pt>
                <c:pt idx="334">
                  <c:v>1.2326388888889253</c:v>
                </c:pt>
                <c:pt idx="335">
                  <c:v>1.2333333333333698</c:v>
                </c:pt>
                <c:pt idx="336">
                  <c:v>1.2340277777778144</c:v>
                </c:pt>
                <c:pt idx="337">
                  <c:v>1.2347222222222589</c:v>
                </c:pt>
                <c:pt idx="338">
                  <c:v>1.2354166666667035</c:v>
                </c:pt>
                <c:pt idx="339">
                  <c:v>1.236111111111148</c:v>
                </c:pt>
                <c:pt idx="340">
                  <c:v>1.2368055555555926</c:v>
                </c:pt>
                <c:pt idx="341">
                  <c:v>1.2375000000000371</c:v>
                </c:pt>
                <c:pt idx="342">
                  <c:v>1.2381944444444817</c:v>
                </c:pt>
                <c:pt idx="343">
                  <c:v>1.2388888888889262</c:v>
                </c:pt>
                <c:pt idx="344">
                  <c:v>1.2395833333333708</c:v>
                </c:pt>
                <c:pt idx="345">
                  <c:v>1.2402777777778153</c:v>
                </c:pt>
                <c:pt idx="346">
                  <c:v>1.2409722222222599</c:v>
                </c:pt>
                <c:pt idx="347">
                  <c:v>1.2416666666667044</c:v>
                </c:pt>
                <c:pt idx="348">
                  <c:v>1.242361111111149</c:v>
                </c:pt>
                <c:pt idx="349">
                  <c:v>1.2430555555555935</c:v>
                </c:pt>
                <c:pt idx="350">
                  <c:v>1.2437500000000381</c:v>
                </c:pt>
                <c:pt idx="351">
                  <c:v>1.2444444444444827</c:v>
                </c:pt>
                <c:pt idx="352">
                  <c:v>1.2451388888889272</c:v>
                </c:pt>
                <c:pt idx="353">
                  <c:v>1.2458333333333718</c:v>
                </c:pt>
                <c:pt idx="354">
                  <c:v>1.2465277777778163</c:v>
                </c:pt>
                <c:pt idx="355">
                  <c:v>1.2472222222222609</c:v>
                </c:pt>
                <c:pt idx="356">
                  <c:v>1.2479166666667054</c:v>
                </c:pt>
                <c:pt idx="357">
                  <c:v>1.24861111111115</c:v>
                </c:pt>
                <c:pt idx="358">
                  <c:v>1.2493055555555945</c:v>
                </c:pt>
                <c:pt idx="359">
                  <c:v>1.2500000000000391</c:v>
                </c:pt>
                <c:pt idx="360">
                  <c:v>1.2506944444444836</c:v>
                </c:pt>
                <c:pt idx="361">
                  <c:v>1.2513888888889282</c:v>
                </c:pt>
                <c:pt idx="362">
                  <c:v>1.2520833333333727</c:v>
                </c:pt>
                <c:pt idx="363">
                  <c:v>1.2527777777778173</c:v>
                </c:pt>
                <c:pt idx="364">
                  <c:v>1.2534722222222618</c:v>
                </c:pt>
                <c:pt idx="365">
                  <c:v>1.2541666666667064</c:v>
                </c:pt>
                <c:pt idx="366">
                  <c:v>1.254861111111151</c:v>
                </c:pt>
                <c:pt idx="367">
                  <c:v>1.2555555555555955</c:v>
                </c:pt>
                <c:pt idx="368">
                  <c:v>1.2562500000000401</c:v>
                </c:pt>
                <c:pt idx="369">
                  <c:v>1.2569444444444846</c:v>
                </c:pt>
                <c:pt idx="370">
                  <c:v>1.2576388888889292</c:v>
                </c:pt>
                <c:pt idx="371">
                  <c:v>1.2583333333333737</c:v>
                </c:pt>
                <c:pt idx="372">
                  <c:v>1.2590277777778183</c:v>
                </c:pt>
                <c:pt idx="373">
                  <c:v>1.2597222222222628</c:v>
                </c:pt>
                <c:pt idx="374">
                  <c:v>1.2604166666667074</c:v>
                </c:pt>
                <c:pt idx="375">
                  <c:v>1.2611111111111519</c:v>
                </c:pt>
                <c:pt idx="376">
                  <c:v>1.2618055555555965</c:v>
                </c:pt>
                <c:pt idx="377">
                  <c:v>1.262500000000041</c:v>
                </c:pt>
                <c:pt idx="378">
                  <c:v>1.2631944444444856</c:v>
                </c:pt>
                <c:pt idx="379">
                  <c:v>1.2638888888889301</c:v>
                </c:pt>
                <c:pt idx="380">
                  <c:v>1.2645833333333747</c:v>
                </c:pt>
                <c:pt idx="381">
                  <c:v>1.2652777777778192</c:v>
                </c:pt>
                <c:pt idx="382">
                  <c:v>1.2659722222222638</c:v>
                </c:pt>
                <c:pt idx="383">
                  <c:v>1.2666666666667084</c:v>
                </c:pt>
                <c:pt idx="384">
                  <c:v>1.2673611111111529</c:v>
                </c:pt>
                <c:pt idx="385">
                  <c:v>1.2680555555555975</c:v>
                </c:pt>
                <c:pt idx="386">
                  <c:v>1.268750000000042</c:v>
                </c:pt>
                <c:pt idx="387">
                  <c:v>1.2694444444444866</c:v>
                </c:pt>
                <c:pt idx="388">
                  <c:v>1.2701388888889311</c:v>
                </c:pt>
                <c:pt idx="389">
                  <c:v>1.2708333333333757</c:v>
                </c:pt>
                <c:pt idx="390">
                  <c:v>1.2715277777778202</c:v>
                </c:pt>
                <c:pt idx="391">
                  <c:v>1.2722222222222648</c:v>
                </c:pt>
                <c:pt idx="392">
                  <c:v>1.2729166666667093</c:v>
                </c:pt>
                <c:pt idx="393">
                  <c:v>1.2736111111111539</c:v>
                </c:pt>
                <c:pt idx="394">
                  <c:v>1.2743055555555984</c:v>
                </c:pt>
                <c:pt idx="395">
                  <c:v>1.275000000000043</c:v>
                </c:pt>
                <c:pt idx="396">
                  <c:v>1.2756944444444875</c:v>
                </c:pt>
                <c:pt idx="397">
                  <c:v>1.2763888888889321</c:v>
                </c:pt>
                <c:pt idx="398">
                  <c:v>1.2770833333333766</c:v>
                </c:pt>
                <c:pt idx="399">
                  <c:v>1.2777777777778212</c:v>
                </c:pt>
                <c:pt idx="400">
                  <c:v>1.2784722222222658</c:v>
                </c:pt>
                <c:pt idx="401">
                  <c:v>1.2791666666667103</c:v>
                </c:pt>
                <c:pt idx="402">
                  <c:v>1.2798611111111549</c:v>
                </c:pt>
                <c:pt idx="403">
                  <c:v>1.2805555555555994</c:v>
                </c:pt>
                <c:pt idx="404">
                  <c:v>1.281250000000044</c:v>
                </c:pt>
                <c:pt idx="405">
                  <c:v>1.2819444444444885</c:v>
                </c:pt>
                <c:pt idx="406">
                  <c:v>1.2826388888889331</c:v>
                </c:pt>
                <c:pt idx="407">
                  <c:v>1.2833333333333776</c:v>
                </c:pt>
                <c:pt idx="408">
                  <c:v>1.2840277777778222</c:v>
                </c:pt>
                <c:pt idx="409">
                  <c:v>1.2847222222222667</c:v>
                </c:pt>
                <c:pt idx="410">
                  <c:v>1.2854166666667113</c:v>
                </c:pt>
                <c:pt idx="411">
                  <c:v>1.2861111111111558</c:v>
                </c:pt>
                <c:pt idx="412">
                  <c:v>1.2868055555556004</c:v>
                </c:pt>
                <c:pt idx="413">
                  <c:v>1.2875000000000449</c:v>
                </c:pt>
                <c:pt idx="414">
                  <c:v>1.2881944444444895</c:v>
                </c:pt>
                <c:pt idx="415">
                  <c:v>1.288888888888934</c:v>
                </c:pt>
                <c:pt idx="416">
                  <c:v>1.2895833333333786</c:v>
                </c:pt>
                <c:pt idx="417">
                  <c:v>1.2902777777778232</c:v>
                </c:pt>
                <c:pt idx="418">
                  <c:v>1.2909722222222677</c:v>
                </c:pt>
                <c:pt idx="419">
                  <c:v>1.2916666666667123</c:v>
                </c:pt>
                <c:pt idx="420">
                  <c:v>1.2923611111111568</c:v>
                </c:pt>
                <c:pt idx="421">
                  <c:v>1.2930555555556014</c:v>
                </c:pt>
                <c:pt idx="422">
                  <c:v>1.2937500000000459</c:v>
                </c:pt>
                <c:pt idx="423">
                  <c:v>1.2944444444444905</c:v>
                </c:pt>
                <c:pt idx="424">
                  <c:v>1.295138888888935</c:v>
                </c:pt>
                <c:pt idx="425">
                  <c:v>1.2958333333333796</c:v>
                </c:pt>
                <c:pt idx="426">
                  <c:v>1.2965277777778241</c:v>
                </c:pt>
                <c:pt idx="427">
                  <c:v>1.2972222222222687</c:v>
                </c:pt>
                <c:pt idx="428">
                  <c:v>1.2979166666667132</c:v>
                </c:pt>
                <c:pt idx="429">
                  <c:v>1.2986111111111578</c:v>
                </c:pt>
                <c:pt idx="430">
                  <c:v>1.2993055555556023</c:v>
                </c:pt>
                <c:pt idx="431">
                  <c:v>1.3000000000000469</c:v>
                </c:pt>
                <c:pt idx="432">
                  <c:v>1.3006944444444914</c:v>
                </c:pt>
                <c:pt idx="433">
                  <c:v>1.301388888888936</c:v>
                </c:pt>
                <c:pt idx="434">
                  <c:v>1.3020833333333806</c:v>
                </c:pt>
                <c:pt idx="435">
                  <c:v>1.3027777777778251</c:v>
                </c:pt>
                <c:pt idx="436">
                  <c:v>1.3034722222222697</c:v>
                </c:pt>
                <c:pt idx="437">
                  <c:v>1.3041666666667142</c:v>
                </c:pt>
                <c:pt idx="438">
                  <c:v>1.3048611111111588</c:v>
                </c:pt>
                <c:pt idx="439">
                  <c:v>1.3055555555556033</c:v>
                </c:pt>
                <c:pt idx="440">
                  <c:v>1.3062500000000479</c:v>
                </c:pt>
                <c:pt idx="441">
                  <c:v>1.3069444444444924</c:v>
                </c:pt>
                <c:pt idx="442">
                  <c:v>1.307638888888937</c:v>
                </c:pt>
                <c:pt idx="443">
                  <c:v>1.3083333333333815</c:v>
                </c:pt>
                <c:pt idx="444">
                  <c:v>1.3090277777778261</c:v>
                </c:pt>
                <c:pt idx="445">
                  <c:v>1.3097222222222706</c:v>
                </c:pt>
                <c:pt idx="446">
                  <c:v>1.3104166666667152</c:v>
                </c:pt>
                <c:pt idx="447">
                  <c:v>1.3111111111111597</c:v>
                </c:pt>
                <c:pt idx="448">
                  <c:v>1.3118055555556043</c:v>
                </c:pt>
                <c:pt idx="449">
                  <c:v>1.3125000000000488</c:v>
                </c:pt>
                <c:pt idx="450">
                  <c:v>1.3131944444444934</c:v>
                </c:pt>
                <c:pt idx="451">
                  <c:v>1.313888888888938</c:v>
                </c:pt>
                <c:pt idx="452">
                  <c:v>1.3145833333333825</c:v>
                </c:pt>
                <c:pt idx="453">
                  <c:v>1.3152777777778271</c:v>
                </c:pt>
                <c:pt idx="454">
                  <c:v>1.3159722222222716</c:v>
                </c:pt>
                <c:pt idx="455">
                  <c:v>1.3166666666667162</c:v>
                </c:pt>
                <c:pt idx="456">
                  <c:v>1.3173611111111607</c:v>
                </c:pt>
                <c:pt idx="457">
                  <c:v>1.3180555555556053</c:v>
                </c:pt>
                <c:pt idx="458">
                  <c:v>1.3187500000000498</c:v>
                </c:pt>
                <c:pt idx="459">
                  <c:v>1.3194444444444944</c:v>
                </c:pt>
                <c:pt idx="460">
                  <c:v>1.3201388888889389</c:v>
                </c:pt>
                <c:pt idx="461">
                  <c:v>1.3208333333333835</c:v>
                </c:pt>
                <c:pt idx="462">
                  <c:v>1.321527777777828</c:v>
                </c:pt>
                <c:pt idx="463">
                  <c:v>1.3222222222222726</c:v>
                </c:pt>
                <c:pt idx="464">
                  <c:v>1.3229166666667171</c:v>
                </c:pt>
                <c:pt idx="465">
                  <c:v>1.3236111111111617</c:v>
                </c:pt>
                <c:pt idx="466">
                  <c:v>1.3243055555556063</c:v>
                </c:pt>
                <c:pt idx="467">
                  <c:v>1.3250000000000508</c:v>
                </c:pt>
                <c:pt idx="468">
                  <c:v>1.3256944444444954</c:v>
                </c:pt>
                <c:pt idx="469">
                  <c:v>1.3263888888889399</c:v>
                </c:pt>
                <c:pt idx="470">
                  <c:v>1.3270833333333845</c:v>
                </c:pt>
                <c:pt idx="471">
                  <c:v>1.327777777777829</c:v>
                </c:pt>
                <c:pt idx="472">
                  <c:v>1.3284722222222736</c:v>
                </c:pt>
                <c:pt idx="473">
                  <c:v>1.3291666666667181</c:v>
                </c:pt>
                <c:pt idx="474">
                  <c:v>1.3298611111111627</c:v>
                </c:pt>
                <c:pt idx="475">
                  <c:v>1.3305555555556072</c:v>
                </c:pt>
                <c:pt idx="476">
                  <c:v>1.3312500000000518</c:v>
                </c:pt>
                <c:pt idx="477">
                  <c:v>1.3319444444444963</c:v>
                </c:pt>
                <c:pt idx="478">
                  <c:v>1.3326388888889409</c:v>
                </c:pt>
                <c:pt idx="479">
                  <c:v>1.3333333333333854</c:v>
                </c:pt>
              </c:numCache>
            </c:numRef>
          </c:cat>
          <c:val>
            <c:numRef>
              <c:f>'Uurlijkse calc'!$AC$3:$AC$482</c:f>
              <c:numCache>
                <c:formatCode>0.0</c:formatCode>
                <c:ptCount val="480"/>
                <c:pt idx="0">
                  <c:v>14.364022838325898</c:v>
                </c:pt>
                <c:pt idx="1">
                  <c:v>28.722991081802846</c:v>
                </c:pt>
                <c:pt idx="2">
                  <c:v>43.07694894798901</c:v>
                </c:pt>
                <c:pt idx="3">
                  <c:v>57.425940238140214</c:v>
                </c:pt>
                <c:pt idx="4">
                  <c:v>71.770008341622969</c:v>
                </c:pt>
                <c:pt idx="5">
                  <c:v>86.109196240272439</c:v>
                </c:pt>
                <c:pt idx="6">
                  <c:v>100.4435465126964</c:v>
                </c:pt>
                <c:pt idx="7">
                  <c:v>114.77310133852572</c:v>
                </c:pt>
                <c:pt idx="8">
                  <c:v>129.09790250261241</c:v>
                </c:pt>
                <c:pt idx="9">
                  <c:v>143.4179913991758</c:v>
                </c:pt>
                <c:pt idx="10">
                  <c:v>157.73340903589781</c:v>
                </c:pt>
                <c:pt idx="11">
                  <c:v>172.04419603796777</c:v>
                </c:pt>
                <c:pt idx="12">
                  <c:v>186.35039265207797</c:v>
                </c:pt>
                <c:pt idx="13">
                  <c:v>200.65203875037025</c:v>
                </c:pt>
                <c:pt idx="14">
                  <c:v>214.9491738343344</c:v>
                </c:pt>
                <c:pt idx="15">
                  <c:v>229.24183703865938</c:v>
                </c:pt>
                <c:pt idx="16">
                  <c:v>243.53006713503771</c:v>
                </c:pt>
                <c:pt idx="17">
                  <c:v>257.81390253592383</c:v>
                </c:pt>
                <c:pt idx="18">
                  <c:v>272.09338129824715</c:v>
                </c:pt>
                <c:pt idx="19">
                  <c:v>286.36854112708022</c:v>
                </c:pt>
                <c:pt idx="20">
                  <c:v>300.63941937926307</c:v>
                </c:pt>
                <c:pt idx="21">
                  <c:v>314.90605306698387</c:v>
                </c:pt>
                <c:pt idx="22">
                  <c:v>329.16847886131688</c:v>
                </c:pt>
                <c:pt idx="23">
                  <c:v>343.42673309571819</c:v>
                </c:pt>
                <c:pt idx="24">
                  <c:v>357.68085176947977</c:v>
                </c:pt>
                <c:pt idx="25">
                  <c:v>371.93087055114256</c:v>
                </c:pt>
                <c:pt idx="26">
                  <c:v>386.17682478186902</c:v>
                </c:pt>
                <c:pt idx="27">
                  <c:v>400.41874947877591</c:v>
                </c:pt>
                <c:pt idx="28">
                  <c:v>414.65667933822772</c:v>
                </c:pt>
                <c:pt idx="29">
                  <c:v>428.8906487390912</c:v>
                </c:pt>
                <c:pt idx="30">
                  <c:v>443.12069174595183</c:v>
                </c:pt>
                <c:pt idx="31">
                  <c:v>457.34684211229245</c:v>
                </c:pt>
                <c:pt idx="32">
                  <c:v>471.56913328363493</c:v>
                </c:pt>
                <c:pt idx="33">
                  <c:v>485.78759840064492</c:v>
                </c:pt>
                <c:pt idx="34">
                  <c:v>500.0022703022006</c:v>
                </c:pt>
                <c:pt idx="35">
                  <c:v>514.21318152842582</c:v>
                </c:pt>
                <c:pt idx="36">
                  <c:v>528.42036432368786</c:v>
                </c:pt>
                <c:pt idx="37">
                  <c:v>542.62385063956071</c:v>
                </c:pt>
                <c:pt idx="38">
                  <c:v>556.82367213775433</c:v>
                </c:pt>
                <c:pt idx="39">
                  <c:v>571.01986019300955</c:v>
                </c:pt>
                <c:pt idx="40">
                  <c:v>585.28390561316917</c:v>
                </c:pt>
                <c:pt idx="41">
                  <c:v>599.54376549103483</c:v>
                </c:pt>
                <c:pt idx="42">
                  <c:v>613.79947595445572</c:v>
                </c:pt>
                <c:pt idx="43">
                  <c:v>628.05107279921731</c:v>
                </c:pt>
                <c:pt idx="44">
                  <c:v>642.29859149243009</c:v>
                </c:pt>
                <c:pt idx="45">
                  <c:v>656.54206717587704</c:v>
                </c:pt>
                <c:pt idx="46">
                  <c:v>670.7815346693227</c:v>
                </c:pt>
                <c:pt idx="47">
                  <c:v>685.01702847378226</c:v>
                </c:pt>
                <c:pt idx="48">
                  <c:v>699.24858277475289</c:v>
                </c:pt>
                <c:pt idx="49">
                  <c:v>713.47623144540671</c:v>
                </c:pt>
                <c:pt idx="50">
                  <c:v>727.700008049747</c:v>
                </c:pt>
                <c:pt idx="51">
                  <c:v>741.9199458457266</c:v>
                </c:pt>
                <c:pt idx="52">
                  <c:v>756.13607778833114</c:v>
                </c:pt>
                <c:pt idx="53">
                  <c:v>770.34843653262533</c:v>
                </c:pt>
                <c:pt idx="54">
                  <c:v>784.55705443676447</c:v>
                </c:pt>
                <c:pt idx="55">
                  <c:v>798.76196356497132</c:v>
                </c:pt>
                <c:pt idx="56">
                  <c:v>812.96319569047785</c:v>
                </c:pt>
                <c:pt idx="57">
                  <c:v>827.16078229843379</c:v>
                </c:pt>
                <c:pt idx="58">
                  <c:v>841.35475458878136</c:v>
                </c:pt>
                <c:pt idx="59">
                  <c:v>855.54514347909696</c:v>
                </c:pt>
                <c:pt idx="60">
                  <c:v>869.7319796074006</c:v>
                </c:pt>
                <c:pt idx="61">
                  <c:v>883.91529333493293</c:v>
                </c:pt>
                <c:pt idx="62">
                  <c:v>898.09511474890087</c:v>
                </c:pt>
                <c:pt idx="63">
                  <c:v>912.27147366519148</c:v>
                </c:pt>
                <c:pt idx="64">
                  <c:v>926.44439963105583</c:v>
                </c:pt>
                <c:pt idx="65">
                  <c:v>940.61392192776179</c:v>
                </c:pt>
                <c:pt idx="66">
                  <c:v>954.78006957321668</c:v>
                </c:pt>
                <c:pt idx="67">
                  <c:v>968.94287132456122</c:v>
                </c:pt>
                <c:pt idx="68">
                  <c:v>983.10235568073324</c:v>
                </c:pt>
                <c:pt idx="69">
                  <c:v>997.25855088500316</c:v>
                </c:pt>
                <c:pt idx="70">
                  <c:v>1011.4114849274808</c:v>
                </c:pt>
                <c:pt idx="71">
                  <c:v>1025.5611855475945</c:v>
                </c:pt>
                <c:pt idx="72">
                  <c:v>1039.7076802365418</c:v>
                </c:pt>
                <c:pt idx="73">
                  <c:v>1053.8509962397134</c:v>
                </c:pt>
                <c:pt idx="74">
                  <c:v>1067.9911605590901</c:v>
                </c:pt>
                <c:pt idx="75">
                  <c:v>1082.1281999556129</c:v>
                </c:pt>
                <c:pt idx="76">
                  <c:v>1096.2621409515268</c:v>
                </c:pt>
                <c:pt idx="77">
                  <c:v>1110.3930098326987</c:v>
                </c:pt>
                <c:pt idx="78">
                  <c:v>1124.5208326509103</c:v>
                </c:pt>
                <c:pt idx="79">
                  <c:v>1138.6456352261248</c:v>
                </c:pt>
                <c:pt idx="80">
                  <c:v>1152.8389028659376</c:v>
                </c:pt>
                <c:pt idx="81">
                  <c:v>1167.0285931316569</c:v>
                </c:pt>
                <c:pt idx="82">
                  <c:v>1181.2147366068452</c:v>
                </c:pt>
                <c:pt idx="83">
                  <c:v>1195.397363598827</c:v>
                </c:pt>
                <c:pt idx="84">
                  <c:v>1209.576504141427</c:v>
                </c:pt>
                <c:pt idx="85">
                  <c:v>1223.7521879976782</c:v>
                </c:pt>
                <c:pt idx="86">
                  <c:v>1237.9244446625003</c:v>
                </c:pt>
                <c:pt idx="87">
                  <c:v>1252.0933033653453</c:v>
                </c:pt>
                <c:pt idx="88">
                  <c:v>1266.2587930728162</c:v>
                </c:pt>
                <c:pt idx="89">
                  <c:v>1280.4209424912535</c:v>
                </c:pt>
                <c:pt idx="90">
                  <c:v>1294.5797800692944</c:v>
                </c:pt>
                <c:pt idx="91">
                  <c:v>1308.7353340004017</c:v>
                </c:pt>
                <c:pt idx="92">
                  <c:v>1322.8876322253661</c:v>
                </c:pt>
                <c:pt idx="93">
                  <c:v>1337.0367024347786</c:v>
                </c:pt>
                <c:pt idx="94">
                  <c:v>1351.1825720714771</c:v>
                </c:pt>
                <c:pt idx="95">
                  <c:v>1365.3252683329645</c:v>
                </c:pt>
                <c:pt idx="96">
                  <c:v>1379.4648181737998</c:v>
                </c:pt>
                <c:pt idx="97">
                  <c:v>1393.6012483079642</c:v>
                </c:pt>
                <c:pt idx="98">
                  <c:v>1407.7345852111987</c:v>
                </c:pt>
                <c:pt idx="99">
                  <c:v>1421.8648551233177</c:v>
                </c:pt>
                <c:pt idx="100">
                  <c:v>1435.9920840504967</c:v>
                </c:pt>
                <c:pt idx="101">
                  <c:v>1450.116297767534</c:v>
                </c:pt>
                <c:pt idx="102">
                  <c:v>1464.2375218200877</c:v>
                </c:pt>
                <c:pt idx="103">
                  <c:v>1478.3557815268896</c:v>
                </c:pt>
                <c:pt idx="104">
                  <c:v>1492.4711019819324</c:v>
                </c:pt>
                <c:pt idx="105">
                  <c:v>1506.5835080566355</c:v>
                </c:pt>
                <c:pt idx="106">
                  <c:v>1520.6930244019857</c:v>
                </c:pt>
                <c:pt idx="107">
                  <c:v>1534.7996754506541</c:v>
                </c:pt>
                <c:pt idx="108">
                  <c:v>1548.9034854190918</c:v>
                </c:pt>
                <c:pt idx="109">
                  <c:v>1563.0044783096014</c:v>
                </c:pt>
                <c:pt idx="110">
                  <c:v>1577.1026779123865</c:v>
                </c:pt>
                <c:pt idx="111">
                  <c:v>1591.1981078075792</c:v>
                </c:pt>
                <c:pt idx="112">
                  <c:v>1605.290791367245</c:v>
                </c:pt>
                <c:pt idx="113">
                  <c:v>1619.380751757368</c:v>
                </c:pt>
                <c:pt idx="114">
                  <c:v>1633.468011939812</c:v>
                </c:pt>
                <c:pt idx="115">
                  <c:v>1647.5525946742625</c:v>
                </c:pt>
                <c:pt idx="116">
                  <c:v>1661.6345225201483</c:v>
                </c:pt>
                <c:pt idx="117">
                  <c:v>1675.7138178385401</c:v>
                </c:pt>
                <c:pt idx="118">
                  <c:v>1689.7905027940317</c:v>
                </c:pt>
                <c:pt idx="119">
                  <c:v>1703.864599356599</c:v>
                </c:pt>
                <c:pt idx="120">
                  <c:v>1718.0075890206494</c:v>
                </c:pt>
                <c:pt idx="121">
                  <c:v>1732.1474297723889</c:v>
                </c:pt>
                <c:pt idx="122">
                  <c:v>1746.284148348029</c:v>
                </c:pt>
                <c:pt idx="123">
                  <c:v>1760.4177712453259</c:v>
                </c:pt>
                <c:pt idx="124">
                  <c:v>1774.5483247258951</c:v>
                </c:pt>
                <c:pt idx="125">
                  <c:v>1788.6758348175019</c:v>
                </c:pt>
                <c:pt idx="126">
                  <c:v>1802.8003273163254</c:v>
                </c:pt>
                <c:pt idx="127">
                  <c:v>1816.9218277891985</c:v>
                </c:pt>
                <c:pt idx="128">
                  <c:v>1831.0403615758225</c:v>
                </c:pt>
                <c:pt idx="129">
                  <c:v>1845.1559537909586</c:v>
                </c:pt>
                <c:pt idx="130">
                  <c:v>1859.268629326594</c:v>
                </c:pt>
                <c:pt idx="131">
                  <c:v>1873.3784128540854</c:v>
                </c:pt>
                <c:pt idx="132">
                  <c:v>1887.4853288262789</c:v>
                </c:pt>
                <c:pt idx="133">
                  <c:v>1901.5894014796067</c:v>
                </c:pt>
                <c:pt idx="134">
                  <c:v>1915.6906548361615</c:v>
                </c:pt>
                <c:pt idx="135">
                  <c:v>1929.7891127057469</c:v>
                </c:pt>
                <c:pt idx="136">
                  <c:v>1943.8847986879086</c:v>
                </c:pt>
                <c:pt idx="137">
                  <c:v>1957.9777361739405</c:v>
                </c:pt>
                <c:pt idx="138">
                  <c:v>1972.0679483488709</c:v>
                </c:pt>
                <c:pt idx="139">
                  <c:v>1986.1554581934276</c:v>
                </c:pt>
                <c:pt idx="140">
                  <c:v>2000.2402884859807</c:v>
                </c:pt>
                <c:pt idx="141">
                  <c:v>2014.3224618044653</c:v>
                </c:pt>
                <c:pt idx="142">
                  <c:v>2028.4020005282837</c:v>
                </c:pt>
                <c:pt idx="143">
                  <c:v>2042.4789268401871</c:v>
                </c:pt>
                <c:pt idx="144">
                  <c:v>2056.5532627281377</c:v>
                </c:pt>
                <c:pt idx="145">
                  <c:v>2070.6250299871499</c:v>
                </c:pt>
                <c:pt idx="146">
                  <c:v>2084.6942502211132</c:v>
                </c:pt>
                <c:pt idx="147">
                  <c:v>2098.7609448445951</c:v>
                </c:pt>
                <c:pt idx="148">
                  <c:v>2112.8251350846253</c:v>
                </c:pt>
                <c:pt idx="149">
                  <c:v>2126.8868419824603</c:v>
                </c:pt>
                <c:pt idx="150">
                  <c:v>2140.94608639533</c:v>
                </c:pt>
                <c:pt idx="151">
                  <c:v>2155.0028889981663</c:v>
                </c:pt>
                <c:pt idx="152">
                  <c:v>2169.0572702853128</c:v>
                </c:pt>
                <c:pt idx="153">
                  <c:v>2183.1092505722172</c:v>
                </c:pt>
                <c:pt idx="154">
                  <c:v>2197.1588499971044</c:v>
                </c:pt>
                <c:pt idx="155">
                  <c:v>2211.2060885226347</c:v>
                </c:pt>
                <c:pt idx="156">
                  <c:v>2225.2509859375432</c:v>
                </c:pt>
                <c:pt idx="157">
                  <c:v>2239.293561858261</c:v>
                </c:pt>
                <c:pt idx="158">
                  <c:v>2253.3338357305224</c:v>
                </c:pt>
                <c:pt idx="159">
                  <c:v>2267.3718268309531</c:v>
                </c:pt>
                <c:pt idx="160">
                  <c:v>2281.479013985851</c:v>
                </c:pt>
                <c:pt idx="161">
                  <c:v>2295.5833555302725</c:v>
                </c:pt>
                <c:pt idx="162">
                  <c:v>2309.6848755065694</c:v>
                </c:pt>
                <c:pt idx="163">
                  <c:v>2323.7835977446116</c:v>
                </c:pt>
                <c:pt idx="164">
                  <c:v>2337.8795458638187</c:v>
                </c:pt>
                <c:pt idx="165">
                  <c:v>2351.9727432751693</c:v>
                </c:pt>
                <c:pt idx="166">
                  <c:v>2366.0632131831881</c:v>
                </c:pt>
                <c:pt idx="167">
                  <c:v>2380.1509785879139</c:v>
                </c:pt>
                <c:pt idx="168">
                  <c:v>2394.2360622868446</c:v>
                </c:pt>
                <c:pt idx="169">
                  <c:v>2408.3184868768612</c:v>
                </c:pt>
                <c:pt idx="170">
                  <c:v>2422.3982747561327</c:v>
                </c:pt>
                <c:pt idx="171">
                  <c:v>2436.4754481259984</c:v>
                </c:pt>
                <c:pt idx="172">
                  <c:v>2450.5500289928332</c:v>
                </c:pt>
                <c:pt idx="173">
                  <c:v>2464.6220391698898</c:v>
                </c:pt>
                <c:pt idx="174">
                  <c:v>2478.6915002791247</c:v>
                </c:pt>
                <c:pt idx="175">
                  <c:v>2492.7584337530016</c:v>
                </c:pt>
                <c:pt idx="176">
                  <c:v>2506.822860836277</c:v>
                </c:pt>
                <c:pt idx="177">
                  <c:v>2520.8848025877683</c:v>
                </c:pt>
                <c:pt idx="178">
                  <c:v>2534.9442798821015</c:v>
                </c:pt>
                <c:pt idx="179">
                  <c:v>2549.0013134114406</c:v>
                </c:pt>
                <c:pt idx="180">
                  <c:v>2563.0559236872004</c:v>
                </c:pt>
                <c:pt idx="181">
                  <c:v>2577.1081310417394</c:v>
                </c:pt>
                <c:pt idx="182">
                  <c:v>2591.1579556300358</c:v>
                </c:pt>
                <c:pt idx="183">
                  <c:v>2605.2054174313462</c:v>
                </c:pt>
                <c:pt idx="184">
                  <c:v>2619.2505362508464</c:v>
                </c:pt>
                <c:pt idx="185">
                  <c:v>2633.2933317212564</c:v>
                </c:pt>
                <c:pt idx="186">
                  <c:v>2647.3338233044469</c:v>
                </c:pt>
                <c:pt idx="187">
                  <c:v>2661.3720302930296</c:v>
                </c:pt>
                <c:pt idx="188">
                  <c:v>2675.407971811931</c:v>
                </c:pt>
                <c:pt idx="189">
                  <c:v>2689.4416668199515</c:v>
                </c:pt>
                <c:pt idx="190">
                  <c:v>2703.4731341113052</c:v>
                </c:pt>
                <c:pt idx="191">
                  <c:v>2717.502392317147</c:v>
                </c:pt>
                <c:pt idx="192">
                  <c:v>2731.5294599070817</c:v>
                </c:pt>
                <c:pt idx="193">
                  <c:v>2745.554355190659</c:v>
                </c:pt>
                <c:pt idx="194">
                  <c:v>2759.577096318852</c:v>
                </c:pt>
                <c:pt idx="195">
                  <c:v>2773.5977012855219</c:v>
                </c:pt>
                <c:pt idx="196">
                  <c:v>2787.6161879288661</c:v>
                </c:pt>
                <c:pt idx="197">
                  <c:v>2801.6325739328536</c:v>
                </c:pt>
                <c:pt idx="198">
                  <c:v>2815.6468768286431</c:v>
                </c:pt>
                <c:pt idx="199">
                  <c:v>2829.6591139959887</c:v>
                </c:pt>
                <c:pt idx="200">
                  <c:v>2843.7407623818394</c:v>
                </c:pt>
                <c:pt idx="201">
                  <c:v>2857.8197805934979</c:v>
                </c:pt>
                <c:pt idx="202">
                  <c:v>2871.8961907748876</c:v>
                </c:pt>
                <c:pt idx="203">
                  <c:v>2885.9700148755105</c:v>
                </c:pt>
                <c:pt idx="204">
                  <c:v>2900.0412746522848</c:v>
                </c:pt>
                <c:pt idx="205">
                  <c:v>2914.1099916713629</c:v>
                </c:pt>
                <c:pt idx="206">
                  <c:v>2928.1761873099313</c:v>
                </c:pt>
                <c:pt idx="207">
                  <c:v>2942.23988275799</c:v>
                </c:pt>
                <c:pt idx="208">
                  <c:v>2956.3010990201146</c:v>
                </c:pt>
                <c:pt idx="209">
                  <c:v>2970.3598569171986</c:v>
                </c:pt>
                <c:pt idx="210">
                  <c:v>2984.4161770881788</c:v>
                </c:pt>
                <c:pt idx="211">
                  <c:v>2998.4700799917405</c:v>
                </c:pt>
                <c:pt idx="212">
                  <c:v>3012.5215859080072</c:v>
                </c:pt>
                <c:pt idx="213">
                  <c:v>3026.5707149402106</c:v>
                </c:pt>
                <c:pt idx="214">
                  <c:v>3040.6174870163445</c:v>
                </c:pt>
                <c:pt idx="215">
                  <c:v>3054.6619218907999</c:v>
                </c:pt>
                <c:pt idx="216">
                  <c:v>3068.7040391459855</c:v>
                </c:pt>
                <c:pt idx="217">
                  <c:v>3082.7438581939291</c:v>
                </c:pt>
                <c:pt idx="218">
                  <c:v>3096.7813982778639</c:v>
                </c:pt>
                <c:pt idx="219">
                  <c:v>3110.8166784737964</c:v>
                </c:pt>
                <c:pt idx="220">
                  <c:v>3124.8497176920605</c:v>
                </c:pt>
                <c:pt idx="221">
                  <c:v>3138.8805346788545</c:v>
                </c:pt>
                <c:pt idx="222">
                  <c:v>3152.9091480177608</c:v>
                </c:pt>
                <c:pt idx="223">
                  <c:v>3166.9355761312536</c:v>
                </c:pt>
                <c:pt idx="224">
                  <c:v>3180.9598372821861</c:v>
                </c:pt>
                <c:pt idx="225">
                  <c:v>3194.9819495752672</c:v>
                </c:pt>
                <c:pt idx="226">
                  <c:v>3209.00193095852</c:v>
                </c:pt>
                <c:pt idx="227">
                  <c:v>3223.0197992247272</c:v>
                </c:pt>
                <c:pt idx="228">
                  <c:v>3237.03557201286</c:v>
                </c:pt>
                <c:pt idx="229">
                  <c:v>3251.0492668094944</c:v>
                </c:pt>
                <c:pt idx="230">
                  <c:v>3265.0609009502109</c:v>
                </c:pt>
                <c:pt idx="231">
                  <c:v>3279.070491620982</c:v>
                </c:pt>
                <c:pt idx="232">
                  <c:v>3293.0780558595447</c:v>
                </c:pt>
                <c:pt idx="233">
                  <c:v>3307.0836105567582</c:v>
                </c:pt>
                <c:pt idx="234">
                  <c:v>3321.0871724579492</c:v>
                </c:pt>
                <c:pt idx="235">
                  <c:v>3335.0887581642446</c:v>
                </c:pt>
                <c:pt idx="236">
                  <c:v>3349.0883841338873</c:v>
                </c:pt>
                <c:pt idx="237">
                  <c:v>3363.0860666835415</c:v>
                </c:pt>
                <c:pt idx="238">
                  <c:v>3377.0818219895846</c:v>
                </c:pt>
                <c:pt idx="239">
                  <c:v>3391.0756660893853</c:v>
                </c:pt>
                <c:pt idx="240">
                  <c:v>3405.1390745997778</c:v>
                </c:pt>
                <c:pt idx="241">
                  <c:v>3419.2000063343867</c:v>
                </c:pt>
                <c:pt idx="242">
                  <c:v>3433.2584820930365</c:v>
                </c:pt>
                <c:pt idx="243">
                  <c:v>3447.314522493793</c:v>
                </c:pt>
                <c:pt idx="244">
                  <c:v>3461.368147974666</c:v>
                </c:pt>
                <c:pt idx="245">
                  <c:v>3475.4193787952972</c:v>
                </c:pt>
                <c:pt idx="246">
                  <c:v>3489.4682350386279</c:v>
                </c:pt>
                <c:pt idx="247">
                  <c:v>3503.5147366125507</c:v>
                </c:pt>
                <c:pt idx="248">
                  <c:v>3517.5589032515441</c:v>
                </c:pt>
                <c:pt idx="249">
                  <c:v>3531.6007545182883</c:v>
                </c:pt>
                <c:pt idx="250">
                  <c:v>3545.6403098052679</c:v>
                </c:pt>
                <c:pt idx="251">
                  <c:v>3559.6775883363534</c:v>
                </c:pt>
                <c:pt idx="252">
                  <c:v>3573.712609168369</c:v>
                </c:pt>
                <c:pt idx="253">
                  <c:v>3587.7453911926445</c:v>
                </c:pt>
                <c:pt idx="254">
                  <c:v>3601.77595313655</c:v>
                </c:pt>
                <c:pt idx="255">
                  <c:v>3615.8043135650146</c:v>
                </c:pt>
                <c:pt idx="256">
                  <c:v>3629.8304908820305</c:v>
                </c:pt>
                <c:pt idx="257">
                  <c:v>3643.8545033321416</c:v>
                </c:pt>
                <c:pt idx="258">
                  <c:v>3657.876369001915</c:v>
                </c:pt>
                <c:pt idx="259">
                  <c:v>3671.8961058214004</c:v>
                </c:pt>
                <c:pt idx="260">
                  <c:v>3685.9137315655717</c:v>
                </c:pt>
                <c:pt idx="261">
                  <c:v>3699.9292638557558</c:v>
                </c:pt>
                <c:pt idx="262">
                  <c:v>3713.942720161047</c:v>
                </c:pt>
                <c:pt idx="263">
                  <c:v>3727.9541177997039</c:v>
                </c:pt>
                <c:pt idx="264">
                  <c:v>3741.9634739405365</c:v>
                </c:pt>
                <c:pt idx="265">
                  <c:v>3755.9708056042764</c:v>
                </c:pt>
                <c:pt idx="266">
                  <c:v>3769.976129664934</c:v>
                </c:pt>
                <c:pt idx="267">
                  <c:v>3783.9794628511409</c:v>
                </c:pt>
                <c:pt idx="268">
                  <c:v>3797.9808217474811</c:v>
                </c:pt>
                <c:pt idx="269">
                  <c:v>3811.9802227958062</c:v>
                </c:pt>
                <c:pt idx="270">
                  <c:v>3825.9776822965387</c:v>
                </c:pt>
                <c:pt idx="271">
                  <c:v>3839.9732164099619</c:v>
                </c:pt>
                <c:pt idx="272">
                  <c:v>3853.9668411574976</c:v>
                </c:pt>
                <c:pt idx="273">
                  <c:v>3867.9585724229692</c:v>
                </c:pt>
                <c:pt idx="274">
                  <c:v>3881.948425953854</c:v>
                </c:pt>
                <c:pt idx="275">
                  <c:v>3895.9364173625222</c:v>
                </c:pt>
                <c:pt idx="276">
                  <c:v>3909.9225621274627</c:v>
                </c:pt>
                <c:pt idx="277">
                  <c:v>3923.9068755944986</c:v>
                </c:pt>
                <c:pt idx="278">
                  <c:v>3937.8893729779888</c:v>
                </c:pt>
                <c:pt idx="279">
                  <c:v>3951.870069362019</c:v>
                </c:pt>
                <c:pt idx="280">
                  <c:v>3965.9204394187882</c:v>
                </c:pt>
                <c:pt idx="281">
                  <c:v>3979.9684421154589</c:v>
                </c:pt>
                <c:pt idx="282">
                  <c:v>3994.014097297043</c:v>
                </c:pt>
                <c:pt idx="283">
                  <c:v>4008.0574246357255</c:v>
                </c:pt>
                <c:pt idx="284">
                  <c:v>4022.0984436324738</c:v>
                </c:pt>
                <c:pt idx="285">
                  <c:v>4036.1371736186329</c:v>
                </c:pt>
                <c:pt idx="286">
                  <c:v>4050.173633757503</c:v>
                </c:pt>
                <c:pt idx="287">
                  <c:v>4064.207843045901</c:v>
                </c:pt>
                <c:pt idx="288">
                  <c:v>4078.2398203157054</c:v>
                </c:pt>
                <c:pt idx="289">
                  <c:v>4092.269584235386</c:v>
                </c:pt>
                <c:pt idx="290">
                  <c:v>4106.2971533115178</c:v>
                </c:pt>
                <c:pt idx="291">
                  <c:v>4120.3225458902789</c:v>
                </c:pt>
                <c:pt idx="292">
                  <c:v>4134.3457801589311</c:v>
                </c:pt>
                <c:pt idx="293">
                  <c:v>4148.3668741472911</c:v>
                </c:pt>
                <c:pt idx="294">
                  <c:v>4162.3858457291799</c:v>
                </c:pt>
                <c:pt idx="295">
                  <c:v>4176.4027126238607</c:v>
                </c:pt>
                <c:pt idx="296">
                  <c:v>4190.4174923974624</c:v>
                </c:pt>
                <c:pt idx="297">
                  <c:v>4204.4302024643894</c:v>
                </c:pt>
                <c:pt idx="298">
                  <c:v>4218.4408600887127</c:v>
                </c:pt>
                <c:pt idx="299">
                  <c:v>4232.4494823855512</c:v>
                </c:pt>
                <c:pt idx="300">
                  <c:v>4246.4560863224388</c:v>
                </c:pt>
                <c:pt idx="301">
                  <c:v>4260.4606887206737</c:v>
                </c:pt>
                <c:pt idx="302">
                  <c:v>4274.4633062566591</c:v>
                </c:pt>
                <c:pt idx="303">
                  <c:v>4288.4639554632267</c:v>
                </c:pt>
                <c:pt idx="304">
                  <c:v>4302.4626527309492</c:v>
                </c:pt>
                <c:pt idx="305">
                  <c:v>4316.4594143094382</c:v>
                </c:pt>
                <c:pt idx="306">
                  <c:v>4330.4542563086288</c:v>
                </c:pt>
                <c:pt idx="307">
                  <c:v>4344.4471947000538</c:v>
                </c:pt>
                <c:pt idx="308">
                  <c:v>4358.4382453181006</c:v>
                </c:pt>
                <c:pt idx="309">
                  <c:v>4372.4274238612606</c:v>
                </c:pt>
                <c:pt idx="310">
                  <c:v>4386.4147458933621</c:v>
                </c:pt>
                <c:pt idx="311">
                  <c:v>4400.4002268447939</c:v>
                </c:pt>
                <c:pt idx="312">
                  <c:v>4414.3838820137134</c:v>
                </c:pt>
                <c:pt idx="313">
                  <c:v>4428.3657265672473</c:v>
                </c:pt>
                <c:pt idx="314">
                  <c:v>4442.3457755426743</c:v>
                </c:pt>
                <c:pt idx="315">
                  <c:v>4456.3240438486027</c:v>
                </c:pt>
                <c:pt idx="316">
                  <c:v>4470.3005462661313</c:v>
                </c:pt>
                <c:pt idx="317">
                  <c:v>4484.2752974500008</c:v>
                </c:pt>
                <c:pt idx="318">
                  <c:v>4498.248311929734</c:v>
                </c:pt>
                <c:pt idx="319">
                  <c:v>4512.2196041107636</c:v>
                </c:pt>
                <c:pt idx="320">
                  <c:v>4526.260647992759</c:v>
                </c:pt>
                <c:pt idx="321">
                  <c:v>4540.2994026557953</c:v>
                </c:pt>
                <c:pt idx="322">
                  <c:v>4554.3358872649842</c:v>
                </c:pt>
                <c:pt idx="323">
                  <c:v>4568.370120818935</c:v>
                </c:pt>
                <c:pt idx="324">
                  <c:v>4582.4021221513049</c:v>
                </c:pt>
                <c:pt idx="325">
                  <c:v>4596.4319099323247</c:v>
                </c:pt>
                <c:pt idx="326">
                  <c:v>4610.4595026703137</c:v>
                </c:pt>
                <c:pt idx="327">
                  <c:v>4624.4849187131776</c:v>
                </c:pt>
                <c:pt idx="328">
                  <c:v>4638.5081762498921</c:v>
                </c:pt>
                <c:pt idx="329">
                  <c:v>4652.529293311969</c:v>
                </c:pt>
                <c:pt idx="330">
                  <c:v>4666.5482877749109</c:v>
                </c:pt>
                <c:pt idx="331">
                  <c:v>4680.5651773596464</c:v>
                </c:pt>
                <c:pt idx="332">
                  <c:v>4694.5799796339552</c:v>
                </c:pt>
                <c:pt idx="333">
                  <c:v>4708.5927120138758</c:v>
                </c:pt>
                <c:pt idx="334">
                  <c:v>4722.6033917651002</c:v>
                </c:pt>
                <c:pt idx="335">
                  <c:v>4736.6120360043524</c:v>
                </c:pt>
                <c:pt idx="336">
                  <c:v>4750.6186617007552</c:v>
                </c:pt>
                <c:pt idx="337">
                  <c:v>4764.623285677184</c:v>
                </c:pt>
                <c:pt idx="338">
                  <c:v>4778.6259246116033</c:v>
                </c:pt>
                <c:pt idx="339">
                  <c:v>4792.6265950383922</c:v>
                </c:pt>
                <c:pt idx="340">
                  <c:v>4806.6253133496566</c:v>
                </c:pt>
                <c:pt idx="341">
                  <c:v>4820.622095796527</c:v>
                </c:pt>
                <c:pt idx="342">
                  <c:v>4834.6169584904437</c:v>
                </c:pt>
                <c:pt idx="343">
                  <c:v>4848.6099174044302</c:v>
                </c:pt>
                <c:pt idx="344">
                  <c:v>4862.6009883743527</c:v>
                </c:pt>
                <c:pt idx="345">
                  <c:v>4876.590187100167</c:v>
                </c:pt>
                <c:pt idx="346">
                  <c:v>4890.5775291471527</c:v>
                </c:pt>
                <c:pt idx="347">
                  <c:v>4904.5630299471359</c:v>
                </c:pt>
                <c:pt idx="348">
                  <c:v>4918.5467047996999</c:v>
                </c:pt>
                <c:pt idx="349">
                  <c:v>4932.5285688733829</c:v>
                </c:pt>
                <c:pt idx="350">
                  <c:v>4946.5086372068636</c:v>
                </c:pt>
                <c:pt idx="351">
                  <c:v>4960.4869247101369</c:v>
                </c:pt>
                <c:pt idx="352">
                  <c:v>4974.4634461656751</c:v>
                </c:pt>
                <c:pt idx="353">
                  <c:v>4988.4382162295815</c:v>
                </c:pt>
                <c:pt idx="354">
                  <c:v>5002.4112494327283</c:v>
                </c:pt>
                <c:pt idx="355">
                  <c:v>5016.3825601818844</c:v>
                </c:pt>
                <c:pt idx="356">
                  <c:v>5030.352162760837</c:v>
                </c:pt>
                <c:pt idx="357">
                  <c:v>5044.3200713314945</c:v>
                </c:pt>
                <c:pt idx="358">
                  <c:v>5058.2862999349836</c:v>
                </c:pt>
                <c:pt idx="359">
                  <c:v>5072.2508624927332</c:v>
                </c:pt>
                <c:pt idx="360">
                  <c:v>5086.2852325247586</c:v>
                </c:pt>
                <c:pt idx="361">
                  <c:v>5100.3173691935162</c:v>
                </c:pt>
                <c:pt idx="362">
                  <c:v>5114.3472911791396</c:v>
                </c:pt>
                <c:pt idx="363">
                  <c:v>5128.3750169997611</c:v>
                </c:pt>
                <c:pt idx="364">
                  <c:v>5142.4005650130084</c:v>
                </c:pt>
                <c:pt idx="365">
                  <c:v>5156.4239534174885</c:v>
                </c:pt>
                <c:pt idx="366">
                  <c:v>5170.4452002542566</c:v>
                </c:pt>
                <c:pt idx="367">
                  <c:v>5184.4643234082687</c:v>
                </c:pt>
                <c:pt idx="368">
                  <c:v>5198.4813406098228</c:v>
                </c:pt>
                <c:pt idx="369">
                  <c:v>5212.4962694359801</c:v>
                </c:pt>
                <c:pt idx="370">
                  <c:v>5226.5091273119751</c:v>
                </c:pt>
                <c:pt idx="371">
                  <c:v>5240.5199315126101</c:v>
                </c:pt>
                <c:pt idx="372">
                  <c:v>5254.5286991636385</c:v>
                </c:pt>
                <c:pt idx="373">
                  <c:v>5268.5354472431291</c:v>
                </c:pt>
                <c:pt idx="374">
                  <c:v>5282.5401925828201</c:v>
                </c:pt>
                <c:pt idx="375">
                  <c:v>5296.5429518694582</c:v>
                </c:pt>
                <c:pt idx="376">
                  <c:v>5310.5437416461255</c:v>
                </c:pt>
                <c:pt idx="377">
                  <c:v>5324.5425783135497</c:v>
                </c:pt>
                <c:pt idx="378">
                  <c:v>5338.5394781314053</c:v>
                </c:pt>
                <c:pt idx="379">
                  <c:v>5352.5344572196</c:v>
                </c:pt>
                <c:pt idx="380">
                  <c:v>5366.5275315595454</c:v>
                </c:pt>
                <c:pt idx="381">
                  <c:v>5380.5187169954206</c:v>
                </c:pt>
                <c:pt idx="382">
                  <c:v>5394.5080292354187</c:v>
                </c:pt>
                <c:pt idx="383">
                  <c:v>5408.495483852982</c:v>
                </c:pt>
                <c:pt idx="384">
                  <c:v>5422.4810962880247</c:v>
                </c:pt>
                <c:pt idx="385">
                  <c:v>5436.4648818481455</c:v>
                </c:pt>
                <c:pt idx="386">
                  <c:v>5450.4468557098253</c:v>
                </c:pt>
                <c:pt idx="387">
                  <c:v>5464.4270329196124</c:v>
                </c:pt>
                <c:pt idx="388">
                  <c:v>5478.4054283953019</c:v>
                </c:pt>
                <c:pt idx="389">
                  <c:v>5492.3820569270956</c:v>
                </c:pt>
                <c:pt idx="390">
                  <c:v>5506.3569331787548</c:v>
                </c:pt>
                <c:pt idx="391">
                  <c:v>5520.3300716887416</c:v>
                </c:pt>
                <c:pt idx="392">
                  <c:v>5534.301486871349</c:v>
                </c:pt>
                <c:pt idx="393">
                  <c:v>5548.2711930178166</c:v>
                </c:pt>
                <c:pt idx="394">
                  <c:v>5562.2392042974398</c:v>
                </c:pt>
                <c:pt idx="395">
                  <c:v>5576.2055347586665</c:v>
                </c:pt>
                <c:pt idx="396">
                  <c:v>5590.1701983301809</c:v>
                </c:pt>
                <c:pt idx="397">
                  <c:v>5604.1332088219788</c:v>
                </c:pt>
                <c:pt idx="398">
                  <c:v>5618.0945799264337</c:v>
                </c:pt>
                <c:pt idx="399">
                  <c:v>5632.0543252193502</c:v>
                </c:pt>
                <c:pt idx="400">
                  <c:v>5646.0839178782144</c:v>
                </c:pt>
                <c:pt idx="401">
                  <c:v>5660.1113171252609</c:v>
                </c:pt>
                <c:pt idx="402">
                  <c:v>5674.1365412942632</c:v>
                </c:pt>
                <c:pt idx="403">
                  <c:v>5688.1596085601932</c:v>
                </c:pt>
                <c:pt idx="404">
                  <c:v>5702.1805369406893</c:v>
                </c:pt>
                <c:pt idx="405">
                  <c:v>5716.1993442975081</c:v>
                </c:pt>
                <c:pt idx="406">
                  <c:v>5730.2160483379603</c:v>
                </c:pt>
                <c:pt idx="407">
                  <c:v>5744.2306666163304</c:v>
                </c:pt>
                <c:pt idx="408">
                  <c:v>5758.2432165352884</c:v>
                </c:pt>
                <c:pt idx="409">
                  <c:v>5772.2537153472776</c:v>
                </c:pt>
                <c:pt idx="410">
                  <c:v>5786.262180155898</c:v>
                </c:pt>
                <c:pt idx="411">
                  <c:v>5800.2686279172676</c:v>
                </c:pt>
                <c:pt idx="412">
                  <c:v>5814.2730754413751</c:v>
                </c:pt>
                <c:pt idx="413">
                  <c:v>5828.2755393934167</c:v>
                </c:pt>
                <c:pt idx="414">
                  <c:v>5842.2760362951194</c:v>
                </c:pt>
                <c:pt idx="415">
                  <c:v>5856.2745825260545</c:v>
                </c:pt>
                <c:pt idx="416">
                  <c:v>5870.2711943249296</c:v>
                </c:pt>
                <c:pt idx="417">
                  <c:v>5884.2658877908771</c:v>
                </c:pt>
                <c:pt idx="418">
                  <c:v>5898.2586788847248</c:v>
                </c:pt>
                <c:pt idx="419">
                  <c:v>5912.2495834302526</c:v>
                </c:pt>
                <c:pt idx="420">
                  <c:v>5926.2386171154412</c:v>
                </c:pt>
                <c:pt idx="421">
                  <c:v>5940.2257954937031</c:v>
                </c:pt>
                <c:pt idx="422">
                  <c:v>5954.2111339851053</c:v>
                </c:pt>
                <c:pt idx="423">
                  <c:v>5968.194647877579</c:v>
                </c:pt>
                <c:pt idx="424">
                  <c:v>5982.1763523281143</c:v>
                </c:pt>
                <c:pt idx="425">
                  <c:v>5996.1562623639484</c:v>
                </c:pt>
                <c:pt idx="426">
                  <c:v>6010.1343928837359</c:v>
                </c:pt>
                <c:pt idx="427">
                  <c:v>6024.1107586587132</c:v>
                </c:pt>
                <c:pt idx="428">
                  <c:v>6038.0853743338475</c:v>
                </c:pt>
                <c:pt idx="429">
                  <c:v>6052.0582544289764</c:v>
                </c:pt>
                <c:pt idx="430">
                  <c:v>6066.0294133399339</c:v>
                </c:pt>
                <c:pt idx="431">
                  <c:v>6079.9988653396686</c:v>
                </c:pt>
                <c:pt idx="432">
                  <c:v>6093.9666245793505</c:v>
                </c:pt>
                <c:pt idx="433">
                  <c:v>6107.9327050894626</c:v>
                </c:pt>
                <c:pt idx="434">
                  <c:v>6121.8971207808863</c:v>
                </c:pt>
                <c:pt idx="435">
                  <c:v>6135.8598854459751</c:v>
                </c:pt>
                <c:pt idx="436">
                  <c:v>6149.8210127596185</c:v>
                </c:pt>
                <c:pt idx="437">
                  <c:v>6163.7805162802915</c:v>
                </c:pt>
                <c:pt idx="438">
                  <c:v>6177.7384094510999</c:v>
                </c:pt>
                <c:pt idx="439">
                  <c:v>6191.6947056008103</c:v>
                </c:pt>
                <c:pt idx="440">
                  <c:v>6205.720877662081</c:v>
                </c:pt>
                <c:pt idx="441">
                  <c:v>6219.7448849003631</c:v>
                </c:pt>
                <c:pt idx="442">
                  <c:v>6233.7667454018438</c:v>
                </c:pt>
                <c:pt idx="443">
                  <c:v>6247.786477096196</c:v>
                </c:pt>
                <c:pt idx="444">
                  <c:v>6261.8040977580204</c:v>
                </c:pt>
                <c:pt idx="445">
                  <c:v>6275.8196250082738</c:v>
                </c:pt>
                <c:pt idx="446">
                  <c:v>6289.8330763156846</c:v>
                </c:pt>
                <c:pt idx="447">
                  <c:v>6303.8444689981479</c:v>
                </c:pt>
                <c:pt idx="448">
                  <c:v>6317.8538202241152</c:v>
                </c:pt>
                <c:pt idx="449">
                  <c:v>6331.8611470139613</c:v>
                </c:pt>
                <c:pt idx="450">
                  <c:v>6345.8664662413421</c:v>
                </c:pt>
                <c:pt idx="451">
                  <c:v>6359.869794634541</c:v>
                </c:pt>
                <c:pt idx="452">
                  <c:v>6373.8711487777946</c:v>
                </c:pt>
                <c:pt idx="453">
                  <c:v>6387.8705451126116</c:v>
                </c:pt>
                <c:pt idx="454">
                  <c:v>6401.8679999390733</c:v>
                </c:pt>
                <c:pt idx="455">
                  <c:v>6415.8635294171263</c:v>
                </c:pt>
                <c:pt idx="456">
                  <c:v>6429.857149567858</c:v>
                </c:pt>
                <c:pt idx="457">
                  <c:v>6443.8488762747611</c:v>
                </c:pt>
                <c:pt idx="458">
                  <c:v>6457.8387252849843</c:v>
                </c:pt>
                <c:pt idx="459">
                  <c:v>6471.8267122105726</c:v>
                </c:pt>
                <c:pt idx="460">
                  <c:v>6485.8128525296934</c:v>
                </c:pt>
                <c:pt idx="461">
                  <c:v>6499.7971615878505</c:v>
                </c:pt>
                <c:pt idx="462">
                  <c:v>6513.7796545990859</c:v>
                </c:pt>
                <c:pt idx="463">
                  <c:v>6527.7603466471719</c:v>
                </c:pt>
                <c:pt idx="464">
                  <c:v>6541.7392526867879</c:v>
                </c:pt>
                <c:pt idx="465">
                  <c:v>6555.7163875446886</c:v>
                </c:pt>
                <c:pt idx="466">
                  <c:v>6569.6917659208575</c:v>
                </c:pt>
                <c:pt idx="467">
                  <c:v>6583.6654023896535</c:v>
                </c:pt>
                <c:pt idx="468">
                  <c:v>6597.6373114009411</c:v>
                </c:pt>
                <c:pt idx="469">
                  <c:v>6611.6075072812127</c:v>
                </c:pt>
                <c:pt idx="470">
                  <c:v>6625.5760042346992</c:v>
                </c:pt>
                <c:pt idx="471">
                  <c:v>6639.5428163444685</c:v>
                </c:pt>
                <c:pt idx="472">
                  <c:v>6653.5079575735153</c:v>
                </c:pt>
                <c:pt idx="473">
                  <c:v>6667.4714417658388</c:v>
                </c:pt>
                <c:pt idx="474">
                  <c:v>6681.4332826475093</c:v>
                </c:pt>
                <c:pt idx="475">
                  <c:v>6695.3934938277262</c:v>
                </c:pt>
                <c:pt idx="476">
                  <c:v>6709.3520887998648</c:v>
                </c:pt>
                <c:pt idx="477">
                  <c:v>6723.3090809425121</c:v>
                </c:pt>
                <c:pt idx="478">
                  <c:v>6737.2644835204928</c:v>
                </c:pt>
                <c:pt idx="479">
                  <c:v>6751.2183096858862</c:v>
                </c:pt>
              </c:numCache>
            </c:numRef>
          </c:val>
          <c:smooth val="0"/>
          <c:extLst>
            <c:ext xmlns:c16="http://schemas.microsoft.com/office/drawing/2014/chart" uri="{C3380CC4-5D6E-409C-BE32-E72D297353CC}">
              <c16:uniqueId val="{00000000-14D7-4B25-BF21-882D873E5F9E}"/>
            </c:ext>
          </c:extLst>
        </c:ser>
        <c:dLbls>
          <c:showLegendKey val="0"/>
          <c:showVal val="0"/>
          <c:showCatName val="0"/>
          <c:showSerName val="0"/>
          <c:showPercent val="0"/>
          <c:showBubbleSize val="0"/>
        </c:dLbls>
        <c:smooth val="0"/>
        <c:axId val="2134919175"/>
        <c:axId val="2134958599"/>
      </c:lineChart>
      <c:catAx>
        <c:axId val="2134919175"/>
        <c:scaling>
          <c:orientation val="minMax"/>
        </c:scaling>
        <c:delete val="0"/>
        <c:axPos val="b"/>
        <c:numFmt formatCode="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958599"/>
        <c:crosses val="autoZero"/>
        <c:auto val="1"/>
        <c:lblAlgn val="ctr"/>
        <c:lblOffset val="100"/>
        <c:noMultiLvlLbl val="0"/>
      </c:catAx>
      <c:valAx>
        <c:axId val="2134958599"/>
        <c:scaling>
          <c:orientation val="minMax"/>
          <c:max val="100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919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14</xdr:col>
      <xdr:colOff>571500</xdr:colOff>
      <xdr:row>15</xdr:row>
      <xdr:rowOff>0</xdr:rowOff>
    </xdr:from>
    <xdr:to>
      <xdr:col>21</xdr:col>
      <xdr:colOff>518446</xdr:colOff>
      <xdr:row>19</xdr:row>
      <xdr:rowOff>133350</xdr:rowOff>
    </xdr:to>
    <xdr:pic>
      <xdr:nvPicPr>
        <xdr:cNvPr id="2" name="Picture 1">
          <a:extLst>
            <a:ext uri="{FF2B5EF4-FFF2-40B4-BE49-F238E27FC236}">
              <a16:creationId xmlns:a16="http://schemas.microsoft.com/office/drawing/2014/main" id="{36AEB64E-8BC7-597B-0D07-1F9CD2916F1B}"/>
            </a:ext>
          </a:extLst>
        </xdr:cNvPr>
        <xdr:cNvPicPr>
          <a:picLocks noChangeAspect="1"/>
        </xdr:cNvPicPr>
      </xdr:nvPicPr>
      <xdr:blipFill>
        <a:blip xmlns:r="http://schemas.openxmlformats.org/officeDocument/2006/relationships" r:embed="rId1"/>
        <a:stretch>
          <a:fillRect/>
        </a:stretch>
      </xdr:blipFill>
      <xdr:spPr>
        <a:xfrm>
          <a:off x="15173325" y="2857500"/>
          <a:ext cx="4214146" cy="895350"/>
        </a:xfrm>
        <a:prstGeom prst="rect">
          <a:avLst/>
        </a:prstGeom>
      </xdr:spPr>
    </xdr:pic>
    <xdr:clientData/>
  </xdr:twoCellAnchor>
  <xdr:twoCellAnchor editAs="oneCell">
    <xdr:from>
      <xdr:col>5</xdr:col>
      <xdr:colOff>266700</xdr:colOff>
      <xdr:row>91</xdr:row>
      <xdr:rowOff>28575</xdr:rowOff>
    </xdr:from>
    <xdr:to>
      <xdr:col>14</xdr:col>
      <xdr:colOff>65896</xdr:colOff>
      <xdr:row>101</xdr:row>
      <xdr:rowOff>142623</xdr:rowOff>
    </xdr:to>
    <xdr:pic>
      <xdr:nvPicPr>
        <xdr:cNvPr id="3" name="Picture 2">
          <a:extLst>
            <a:ext uri="{FF2B5EF4-FFF2-40B4-BE49-F238E27FC236}">
              <a16:creationId xmlns:a16="http://schemas.microsoft.com/office/drawing/2014/main" id="{19B1B9BD-CD69-E083-CCDE-1AD5E89E6512}"/>
            </a:ext>
            <a:ext uri="{147F2762-F138-4A5C-976F-8EAC2B608ADB}">
              <a16:predDERef xmlns:a16="http://schemas.microsoft.com/office/drawing/2014/main" pred="{36AEB64E-8BC7-597B-0D07-1F9CD2916F1B}"/>
            </a:ext>
          </a:extLst>
        </xdr:cNvPr>
        <xdr:cNvPicPr>
          <a:picLocks noChangeAspect="1"/>
        </xdr:cNvPicPr>
      </xdr:nvPicPr>
      <xdr:blipFill>
        <a:blip xmlns:r="http://schemas.openxmlformats.org/officeDocument/2006/relationships" r:embed="rId2"/>
        <a:stretch>
          <a:fillRect/>
        </a:stretch>
      </xdr:blipFill>
      <xdr:spPr>
        <a:xfrm>
          <a:off x="8505825" y="17364075"/>
          <a:ext cx="6228571" cy="20190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533400</xdr:colOff>
      <xdr:row>6</xdr:row>
      <xdr:rowOff>47625</xdr:rowOff>
    </xdr:from>
    <xdr:to>
      <xdr:col>15</xdr:col>
      <xdr:colOff>104775</xdr:colOff>
      <xdr:row>33</xdr:row>
      <xdr:rowOff>0</xdr:rowOff>
    </xdr:to>
    <xdr:graphicFrame macro="">
      <xdr:nvGraphicFramePr>
        <xdr:cNvPr id="5" name="Grafiek 4">
          <a:extLst>
            <a:ext uri="{FF2B5EF4-FFF2-40B4-BE49-F238E27FC236}">
              <a16:creationId xmlns:a16="http://schemas.microsoft.com/office/drawing/2014/main" id="{1627E6F0-466E-49FD-8D92-2FDE1BAF0882}"/>
            </a:ext>
            <a:ext uri="{147F2762-F138-4A5C-976F-8EAC2B608ADB}">
              <a16:predDERef xmlns:a16="http://schemas.microsoft.com/office/drawing/2014/main" pred="{05319EB6-9047-59DC-1070-56B4D006A8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95250</xdr:colOff>
      <xdr:row>6</xdr:row>
      <xdr:rowOff>38100</xdr:rowOff>
    </xdr:from>
    <xdr:to>
      <xdr:col>26</xdr:col>
      <xdr:colOff>85725</xdr:colOff>
      <xdr:row>32</xdr:row>
      <xdr:rowOff>180975</xdr:rowOff>
    </xdr:to>
    <xdr:graphicFrame macro="">
      <xdr:nvGraphicFramePr>
        <xdr:cNvPr id="2" name="Chart 1">
          <a:extLst>
            <a:ext uri="{FF2B5EF4-FFF2-40B4-BE49-F238E27FC236}">
              <a16:creationId xmlns:a16="http://schemas.microsoft.com/office/drawing/2014/main" id="{C76B204B-9CC8-4A5D-994B-FCDC08261EEC}"/>
            </a:ext>
            <a:ext uri="{147F2762-F138-4A5C-976F-8EAC2B608ADB}">
              <a16:predDERef xmlns:a16="http://schemas.microsoft.com/office/drawing/2014/main" pred="{1627E6F0-466E-49FD-8D92-2FDE1BAF08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Guest User" id="{8AA2904E-ED59-45A6-81C8-8F67751A8CF7}" userId="" providerId="Windows Live"/>
  <person displayName="Arno Meessens" id="{0987361E-C16D-44F3-8DFF-80B8D86C839D}" userId="3df7ef06cbd75e1f" providerId="Windows Live"/>
  <person displayName="Meessens, Arno" id="{782F14DE-445C-4F6B-961E-38C47B1B6F7D}" userId="S::arno.meessens@swecobelgium.be::28765654-1d11-4a27-bff7-e419c40e167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6" dT="2026-04-13T18:15:01.12" personId="{782F14DE-445C-4F6B-961E-38C47B1B6F7D}" id="{D0B89FC5-FB35-4046-A6D4-B2A236D08CB3}">
    <text>Can be dynamic in long events</text>
  </threadedComment>
  <threadedComment ref="A12" dT="2026-04-13T18:15:36.04" personId="{782F14DE-445C-4F6B-961E-38C47B1B6F7D}" id="{97B7E93C-C26E-4AD2-9CED-864AFAC43293}">
    <text>Can be dynamic due to elevation via Wehrlin and Hallén eq</text>
  </threadedComment>
  <threadedComment ref="C55" dT="2026-04-15T14:15:14.45" personId="{782F14DE-445C-4F6B-961E-38C47B1B6F7D}" id="{158471DB-E808-45A4-B886-1A5717460954}">
    <text xml:space="preserve">0.0004 voor een getrainde ultra-loper, 0.0006 voor een recreant </text>
  </threadedComment>
  <threadedComment ref="C69" dT="2026-04-13T16:29:46.82" personId="{782F14DE-445C-4F6B-961E-38C47B1B6F7D}" id="{0470C377-9C02-429A-954E-43D3520D7503}">
    <text xml:space="preserve">4.82kcal/literO2 is the energy you get by using 1 liter O2 at a resting RER of 0.82, 
which corresponds with the standard MET equal to 3.5 ml/kg/min
</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6-05T20:56:08.37" personId="{782F14DE-445C-4F6B-961E-38C47B1B6F7D}" id="{9683EF9D-CCB3-4062-9B26-10C593402692}">
    <text>N = 1 // hard packed trail: N = 1,05 // Technical/rooty trail: N = 1,12 // Soft sand going to deep mud: N = 1,2-1,5</text>
  </threadedComment>
  <threadedComment ref="O2" dT="2026-06-07T08:22:50.54" personId="{0987361E-C16D-44F3-8DFF-80B8D86C839D}" id="{8B037FCF-2994-4BBD-9D39-C2DDD976925E}">
    <text>meter/min</text>
  </threadedComment>
  <threadedComment ref="P2" dT="2026-06-05T20:58:42.19" personId="{782F14DE-445C-4F6B-961E-38C47B1B6F7D}" id="{ECCAD0CE-36B1-4471-8C10-CB0074235EC6}">
    <text>Loopvorm verslechterd door combinatie van vermoeidheid door tijd, klimmen en dalen</text>
  </threadedComment>
  <threadedComment ref="R2" dT="2026-06-05T20:59:03.79" personId="{782F14DE-445C-4F6B-961E-38C47B1B6F7D}" id="{2CC8CB8A-52A3-4D6C-8E5B-35561F6B5295}">
    <text>J/kg/m</text>
  </threadedComment>
  <threadedComment ref="V2" dT="2026-06-05T20:59:34.76" personId="{782F14DE-445C-4F6B-961E-38C47B1B6F7D}" id="{E91E73FD-6124-40DF-A4D8-C51C944E21BB}">
    <text>kJ/min</text>
  </threadedComment>
  <threadedComment ref="W2" dT="2026-06-05T20:59:44.64" personId="{782F14DE-445C-4F6B-961E-38C47B1B6F7D}" id="{7F0882ED-E32B-4991-9D12-8884952A5393}">
    <text>kJ/min</text>
  </threadedComment>
  <threadedComment ref="X2" dT="2026-06-05T20:57:04.93" personId="{782F14DE-445C-4F6B-961E-38C47B1B6F7D}" id="{BAB55C35-7C43-42C6-8417-73DA73BE26F7}">
    <text>Verhouding CO2/O2 en dus verhouding carbs tov vetten</text>
  </threadedComment>
  <threadedComment ref="N3" dT="2026-05-22T06:13:52.81" personId="{8AA2904E-ED59-45A6-81C8-8F67751A8CF7}" id="{162B7DDA-0CAC-4BBC-A03E-B5528BB831E7}">
    <text>HR drift nemen we nu nog niet mee ondanks de tijdsuitschrijving hier dat wel mogelijk zou maken (factor 1 op het einde)</text>
  </threadedComment>
  <threadedComment ref="A14" dT="2026-04-13T18:15:01.12" personId="{782F14DE-445C-4F6B-961E-38C47B1B6F7D}" id="{7694D352-10E2-4649-8C87-2A121EF4FD34}">
    <text>Can be dynamic in long events</text>
  </threadedComment>
  <threadedComment ref="A19" dT="2026-04-13T18:15:36.04" personId="{782F14DE-445C-4F6B-961E-38C47B1B6F7D}" id="{F97C20D8-F5FA-4B6A-AA0A-E8864C2DC914}">
    <text>Can be dynamic due to elevation via Wehrlin and Hallén eq</text>
  </threadedComment>
  <threadedComment ref="A20" dT="2026-05-22T06:16:49.69" personId="{8AA2904E-ED59-45A6-81C8-8F67751A8CF7}" id="{73099AB0-0426-4B4F-9CEE-C1743284ACBC}">
    <text>1 = Beginner/Ongetraind: Loopt sporadisch, minder dan 2x per week
2 = Recreatief (Standaard): Traint 2 tot 3 keer per week consistent
3 = Geavanceerd: Loopt 4+ keer per week, doet aan interval- en duurtrajecten
4 = Elite/Wedstrijdsporter: Combineert een hoog volume met actieve 'carb-loading' protocollen</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14"/>
  <sheetViews>
    <sheetView topLeftCell="A62" workbookViewId="0">
      <selection activeCell="B82" sqref="B82"/>
    </sheetView>
  </sheetViews>
  <sheetFormatPr defaultColWidth="9.1796875" defaultRowHeight="14.5" x14ac:dyDescent="0.35"/>
  <cols>
    <col min="1" max="1" width="27.453125" style="8" customWidth="1"/>
    <col min="2" max="2" width="10.453125" style="5" bestFit="1" customWidth="1"/>
    <col min="3" max="3" width="14.1796875" style="5" bestFit="1" customWidth="1"/>
    <col min="4" max="4" width="33.453125" style="1" customWidth="1"/>
    <col min="5" max="5" width="24.81640625" style="1" bestFit="1" customWidth="1"/>
    <col min="6" max="6" width="13.1796875" style="1" customWidth="1"/>
    <col min="7" max="7" width="10" style="1" bestFit="1" customWidth="1"/>
    <col min="8" max="8" width="12" style="1" bestFit="1" customWidth="1"/>
    <col min="9" max="9" width="11.1796875" style="1" customWidth="1"/>
    <col min="10" max="10" width="12" style="1" customWidth="1"/>
    <col min="11" max="11" width="8.453125" style="1" bestFit="1" customWidth="1"/>
    <col min="12" max="12" width="11.453125" style="1" bestFit="1" customWidth="1"/>
    <col min="13" max="16384" width="9.1796875" style="1"/>
  </cols>
  <sheetData>
    <row r="1" spans="1:22" x14ac:dyDescent="0.35">
      <c r="A1" s="52" t="s">
        <v>0</v>
      </c>
      <c r="B1" s="48"/>
      <c r="C1" s="36"/>
      <c r="D1" s="70" t="s">
        <v>1</v>
      </c>
      <c r="F1" s="9" t="s">
        <v>2</v>
      </c>
      <c r="G1" s="10"/>
      <c r="H1" s="10"/>
      <c r="I1" s="10"/>
      <c r="J1" s="10"/>
      <c r="K1" s="10"/>
      <c r="L1" s="14"/>
      <c r="M1" s="14"/>
      <c r="N1" s="14"/>
      <c r="O1" s="14"/>
      <c r="P1" s="14"/>
      <c r="Q1" s="14"/>
      <c r="R1" s="14"/>
      <c r="S1" s="14"/>
      <c r="T1" s="14"/>
      <c r="U1" s="14"/>
      <c r="V1" s="15"/>
    </row>
    <row r="2" spans="1:22" x14ac:dyDescent="0.35">
      <c r="A2" s="53" t="s">
        <v>3</v>
      </c>
      <c r="B2" s="49"/>
      <c r="C2" s="37"/>
      <c r="D2" s="68" t="s">
        <v>4</v>
      </c>
      <c r="F2" s="11" t="s">
        <v>5</v>
      </c>
      <c r="G2" s="12"/>
      <c r="H2" s="12"/>
      <c r="I2" s="12"/>
      <c r="J2" s="92">
        <f>IF(Calculator!C4=1, -95.7735+(0.634*C52)+(0.404*C12)+(0.394*C6)+(0.271*C5), -59.3954+(0.45*C52)+(0.38*C12)+(0.103*C6)+(0.274*C5))+C44</f>
        <v>50.589071555555556</v>
      </c>
      <c r="K2" s="12"/>
      <c r="L2" s="16"/>
      <c r="M2" s="16"/>
      <c r="N2" s="16"/>
      <c r="O2" s="16"/>
      <c r="P2" s="16"/>
      <c r="Q2" s="16"/>
      <c r="R2" s="16"/>
      <c r="S2" s="16"/>
      <c r="T2" s="16"/>
      <c r="U2" s="16"/>
      <c r="V2" s="17"/>
    </row>
    <row r="3" spans="1:22" x14ac:dyDescent="0.35">
      <c r="A3" s="54" t="s">
        <v>6</v>
      </c>
      <c r="B3" s="50" t="s">
        <v>7</v>
      </c>
      <c r="C3" s="38" t="s">
        <v>8</v>
      </c>
      <c r="D3" s="68" t="s">
        <v>9</v>
      </c>
      <c r="F3" s="21" t="s">
        <v>10</v>
      </c>
      <c r="G3" s="22">
        <f>(1.39*I3)+(0.16*C5)-(10.34*C4)-9</f>
        <v>14.850864197530857</v>
      </c>
      <c r="H3" s="23" t="s">
        <v>11</v>
      </c>
      <c r="I3" s="22">
        <f>C6/(C7*C7)</f>
        <v>21.604938271604937</v>
      </c>
      <c r="J3" s="16" t="s">
        <v>12</v>
      </c>
      <c r="K3" s="16"/>
      <c r="L3" s="16"/>
      <c r="M3" s="18" t="s">
        <v>13</v>
      </c>
      <c r="N3" s="16"/>
      <c r="O3" s="16"/>
      <c r="P3" s="16"/>
      <c r="Q3" s="16"/>
      <c r="R3" s="16"/>
      <c r="S3" s="16"/>
      <c r="T3" s="16"/>
      <c r="U3" s="16"/>
      <c r="V3" s="17"/>
    </row>
    <row r="4" spans="1:22" x14ac:dyDescent="0.35">
      <c r="A4" s="55" t="s">
        <v>14</v>
      </c>
      <c r="B4" s="5" t="s">
        <v>15</v>
      </c>
      <c r="C4" s="60">
        <v>1</v>
      </c>
      <c r="D4" s="68" t="s">
        <v>16</v>
      </c>
      <c r="F4" s="21" t="s">
        <v>10</v>
      </c>
      <c r="G4" s="22">
        <f>64-(20*(C7/I4))</f>
        <v>13.29577464788732</v>
      </c>
      <c r="H4" s="23" t="s">
        <v>17</v>
      </c>
      <c r="I4" s="24">
        <v>0.71</v>
      </c>
      <c r="J4" s="16" t="s">
        <v>18</v>
      </c>
      <c r="K4" s="16"/>
      <c r="L4" s="16"/>
      <c r="M4" s="18" t="s">
        <v>19</v>
      </c>
      <c r="N4" s="16"/>
      <c r="O4" s="16"/>
      <c r="P4" s="16"/>
      <c r="Q4" s="16"/>
      <c r="R4" s="16"/>
      <c r="S4" s="16"/>
      <c r="T4" s="16"/>
      <c r="U4" s="16"/>
      <c r="V4" s="17"/>
    </row>
    <row r="5" spans="1:22" x14ac:dyDescent="0.35">
      <c r="A5" s="55" t="s">
        <v>20</v>
      </c>
      <c r="B5" s="5" t="s">
        <v>21</v>
      </c>
      <c r="C5" s="60">
        <v>26</v>
      </c>
      <c r="D5" s="6"/>
      <c r="F5" s="21"/>
      <c r="G5" s="16"/>
      <c r="H5" s="16"/>
      <c r="I5" s="16"/>
      <c r="J5" s="16"/>
      <c r="K5" s="16"/>
      <c r="L5" s="16"/>
      <c r="M5" s="16"/>
      <c r="N5" s="16"/>
      <c r="O5" s="16"/>
      <c r="P5" s="16"/>
      <c r="Q5" s="16"/>
      <c r="R5" s="16"/>
      <c r="S5" s="16"/>
      <c r="T5" s="16"/>
      <c r="U5" s="16"/>
      <c r="V5" s="17"/>
    </row>
    <row r="6" spans="1:22" x14ac:dyDescent="0.35">
      <c r="A6" s="55" t="s">
        <v>22</v>
      </c>
      <c r="B6" s="5" t="s">
        <v>23</v>
      </c>
      <c r="C6" s="61">
        <v>70</v>
      </c>
      <c r="D6" s="6"/>
      <c r="F6" s="25" t="s">
        <v>24</v>
      </c>
      <c r="G6" s="26" t="s">
        <v>25</v>
      </c>
      <c r="H6" s="26" t="s">
        <v>26</v>
      </c>
      <c r="I6" s="16"/>
      <c r="J6" s="16"/>
      <c r="K6" s="16"/>
      <c r="L6" s="16"/>
      <c r="M6" s="16"/>
      <c r="N6" s="16"/>
      <c r="O6" s="16"/>
      <c r="P6" s="16"/>
      <c r="Q6" s="16"/>
      <c r="R6" s="16"/>
      <c r="S6" s="16"/>
      <c r="T6" s="16"/>
      <c r="U6" s="16"/>
      <c r="V6" s="17"/>
    </row>
    <row r="7" spans="1:22" x14ac:dyDescent="0.35">
      <c r="A7" s="55" t="s">
        <v>27</v>
      </c>
      <c r="B7" s="5" t="s">
        <v>28</v>
      </c>
      <c r="C7" s="62">
        <v>1.8</v>
      </c>
      <c r="D7" s="6"/>
      <c r="F7" s="21" t="s">
        <v>29</v>
      </c>
      <c r="G7" s="16" t="s">
        <v>30</v>
      </c>
      <c r="H7" s="16" t="s">
        <v>31</v>
      </c>
      <c r="I7" s="16"/>
      <c r="J7" s="16"/>
      <c r="K7" s="16"/>
      <c r="L7" s="16"/>
      <c r="M7" s="16"/>
      <c r="N7" s="16"/>
      <c r="O7" s="16"/>
      <c r="P7" s="16"/>
      <c r="Q7" s="16"/>
      <c r="R7" s="16"/>
      <c r="S7" s="16"/>
      <c r="T7" s="16"/>
      <c r="U7" s="16"/>
      <c r="V7" s="17"/>
    </row>
    <row r="8" spans="1:22" x14ac:dyDescent="0.35">
      <c r="A8" s="55" t="s">
        <v>32</v>
      </c>
      <c r="B8" s="5" t="s">
        <v>33</v>
      </c>
      <c r="C8" s="60">
        <v>53</v>
      </c>
      <c r="D8" s="6"/>
      <c r="F8" s="21" t="s">
        <v>34</v>
      </c>
      <c r="G8" s="16" t="s">
        <v>35</v>
      </c>
      <c r="H8" s="16" t="s">
        <v>36</v>
      </c>
      <c r="I8" s="16"/>
      <c r="J8" s="16"/>
      <c r="K8" s="16"/>
      <c r="L8" s="16"/>
      <c r="M8" s="16"/>
      <c r="N8" s="16"/>
      <c r="O8" s="16"/>
      <c r="P8" s="16"/>
      <c r="Q8" s="16"/>
      <c r="R8" s="16"/>
      <c r="S8" s="16"/>
      <c r="T8" s="16"/>
      <c r="U8" s="16"/>
      <c r="V8" s="17"/>
    </row>
    <row r="9" spans="1:22" x14ac:dyDescent="0.35">
      <c r="A9" s="8" t="s">
        <v>37</v>
      </c>
      <c r="B9" s="5" t="s">
        <v>33</v>
      </c>
      <c r="C9" s="60">
        <v>193</v>
      </c>
      <c r="D9" s="6"/>
      <c r="F9" s="21" t="s">
        <v>38</v>
      </c>
      <c r="G9" s="16" t="s">
        <v>39</v>
      </c>
      <c r="H9" s="16" t="s">
        <v>40</v>
      </c>
      <c r="I9" s="16"/>
      <c r="J9" s="16"/>
      <c r="K9" s="16"/>
      <c r="L9" s="16"/>
      <c r="M9" s="16"/>
      <c r="N9" s="16"/>
      <c r="O9" s="16"/>
      <c r="P9" s="16"/>
      <c r="Q9" s="16"/>
      <c r="R9" s="16"/>
      <c r="S9" s="16"/>
      <c r="T9" s="16"/>
      <c r="U9" s="16"/>
      <c r="V9" s="17"/>
    </row>
    <row r="10" spans="1:22" x14ac:dyDescent="0.35">
      <c r="A10" s="55" t="s">
        <v>41</v>
      </c>
      <c r="B10" s="5" t="s">
        <v>42</v>
      </c>
      <c r="C10" s="62">
        <v>0.12</v>
      </c>
      <c r="D10" s="6"/>
      <c r="F10" s="21" t="s">
        <v>43</v>
      </c>
      <c r="G10" s="16" t="s">
        <v>44</v>
      </c>
      <c r="H10" s="16" t="s">
        <v>45</v>
      </c>
      <c r="I10" s="16"/>
      <c r="J10" s="16"/>
      <c r="K10" s="16"/>
      <c r="L10" s="16"/>
      <c r="M10" s="16"/>
      <c r="N10" s="16"/>
      <c r="O10" s="16"/>
      <c r="P10" s="16"/>
      <c r="Q10" s="16"/>
      <c r="R10" s="16"/>
      <c r="S10" s="16"/>
      <c r="T10" s="16"/>
      <c r="U10" s="16"/>
      <c r="V10" s="17"/>
    </row>
    <row r="11" spans="1:22" x14ac:dyDescent="0.35">
      <c r="A11" s="89" t="s">
        <v>46</v>
      </c>
      <c r="B11" s="90" t="s">
        <v>47</v>
      </c>
      <c r="C11" s="91">
        <v>90</v>
      </c>
      <c r="D11" s="6"/>
      <c r="F11" s="21" t="s">
        <v>48</v>
      </c>
      <c r="G11" s="16" t="s">
        <v>49</v>
      </c>
      <c r="H11" s="16" t="s">
        <v>50</v>
      </c>
      <c r="I11" s="16"/>
      <c r="J11" s="16"/>
      <c r="K11" s="16"/>
      <c r="L11" s="16"/>
      <c r="M11" s="16"/>
      <c r="N11" s="16"/>
      <c r="O11" s="16"/>
      <c r="P11" s="16"/>
      <c r="Q11" s="16"/>
      <c r="R11" s="16"/>
      <c r="S11" s="16"/>
      <c r="T11" s="16"/>
      <c r="U11" s="16"/>
      <c r="V11" s="17"/>
    </row>
    <row r="12" spans="1:22" x14ac:dyDescent="0.35">
      <c r="A12" s="55" t="s">
        <v>51</v>
      </c>
      <c r="B12" s="5" t="s">
        <v>52</v>
      </c>
      <c r="C12" s="60">
        <v>60</v>
      </c>
      <c r="D12" s="6"/>
      <c r="F12" s="21"/>
      <c r="G12" s="16"/>
      <c r="H12" s="16"/>
      <c r="I12" s="16"/>
      <c r="J12" s="16"/>
      <c r="K12" s="16"/>
      <c r="L12" s="16"/>
      <c r="M12" s="16"/>
      <c r="N12" s="16"/>
      <c r="O12" s="16"/>
      <c r="P12" s="16"/>
      <c r="Q12" s="16"/>
      <c r="R12" s="16"/>
      <c r="S12" s="16"/>
      <c r="T12" s="16"/>
      <c r="U12" s="16"/>
      <c r="V12" s="17"/>
    </row>
    <row r="13" spans="1:22" x14ac:dyDescent="0.35">
      <c r="A13" s="55"/>
      <c r="C13" s="42"/>
      <c r="D13" s="6"/>
      <c r="F13" s="11" t="s">
        <v>53</v>
      </c>
      <c r="G13" s="13"/>
      <c r="H13" s="13"/>
      <c r="I13" s="13"/>
      <c r="J13" s="13"/>
      <c r="K13" s="13"/>
      <c r="L13" s="16"/>
      <c r="M13" s="16"/>
      <c r="N13" s="16"/>
      <c r="O13" s="16"/>
      <c r="P13" s="16"/>
      <c r="Q13" s="16"/>
      <c r="R13" s="16"/>
      <c r="S13" s="16"/>
      <c r="T13" s="16"/>
      <c r="U13" s="16"/>
      <c r="V13" s="17"/>
    </row>
    <row r="14" spans="1:22" x14ac:dyDescent="0.35">
      <c r="A14" s="57" t="s">
        <v>54</v>
      </c>
      <c r="B14" s="48"/>
      <c r="C14" s="36"/>
      <c r="D14" s="6"/>
      <c r="F14" s="21" t="s">
        <v>55</v>
      </c>
      <c r="G14" s="16"/>
      <c r="H14" s="16"/>
      <c r="I14" s="16"/>
      <c r="J14" s="16"/>
      <c r="K14" s="16"/>
      <c r="L14" s="16"/>
      <c r="M14" s="16"/>
      <c r="N14" s="16"/>
      <c r="O14" s="16"/>
      <c r="P14" s="16"/>
      <c r="Q14" s="16"/>
      <c r="R14" s="16"/>
      <c r="S14" s="16"/>
      <c r="T14" s="16"/>
      <c r="U14" s="16"/>
      <c r="V14" s="17"/>
    </row>
    <row r="15" spans="1:22" x14ac:dyDescent="0.35">
      <c r="A15" s="53" t="s">
        <v>56</v>
      </c>
      <c r="B15" s="49"/>
      <c r="C15" s="37"/>
      <c r="F15" s="21" t="s">
        <v>57</v>
      </c>
      <c r="G15" s="22">
        <f>15.3*I15/K15</f>
        <v>65.62</v>
      </c>
      <c r="H15" s="27" t="s">
        <v>58</v>
      </c>
      <c r="I15" s="27">
        <v>193</v>
      </c>
      <c r="J15" s="27" t="s">
        <v>59</v>
      </c>
      <c r="K15" s="27">
        <v>45</v>
      </c>
      <c r="L15" s="16"/>
      <c r="M15" s="16"/>
      <c r="N15" s="16"/>
      <c r="O15" s="16"/>
      <c r="P15" s="16"/>
      <c r="Q15" s="16"/>
      <c r="R15" s="16"/>
      <c r="S15" s="16"/>
      <c r="T15" s="16"/>
      <c r="U15" s="16"/>
      <c r="V15" s="17"/>
    </row>
    <row r="16" spans="1:22" x14ac:dyDescent="0.35">
      <c r="A16" s="54" t="s">
        <v>6</v>
      </c>
      <c r="B16" s="50" t="s">
        <v>7</v>
      </c>
      <c r="C16" s="38" t="s">
        <v>60</v>
      </c>
      <c r="F16" s="21"/>
      <c r="G16" s="16"/>
      <c r="H16" s="16"/>
      <c r="I16" s="16"/>
      <c r="J16" s="16"/>
      <c r="K16" s="16"/>
      <c r="L16" s="16"/>
      <c r="M16" s="16"/>
      <c r="N16" s="16"/>
      <c r="O16" s="16"/>
      <c r="P16" s="16"/>
      <c r="Q16" s="16"/>
      <c r="R16" s="16"/>
      <c r="S16" s="16"/>
      <c r="T16" s="16"/>
      <c r="U16" s="16"/>
      <c r="V16" s="17"/>
    </row>
    <row r="17" spans="1:22" x14ac:dyDescent="0.35">
      <c r="A17" s="55" t="s">
        <v>61</v>
      </c>
      <c r="B17" s="5" t="s">
        <v>23</v>
      </c>
      <c r="C17" s="40">
        <f>C6*(1-C10)</f>
        <v>61.6</v>
      </c>
      <c r="F17" s="21" t="s">
        <v>62</v>
      </c>
      <c r="G17" s="16"/>
      <c r="H17" s="16"/>
      <c r="I17" s="16"/>
      <c r="J17" s="16"/>
      <c r="K17" s="16"/>
      <c r="L17" s="16"/>
      <c r="M17" s="16"/>
      <c r="N17" s="16"/>
      <c r="O17" s="16"/>
      <c r="P17" s="16"/>
      <c r="Q17" s="16"/>
      <c r="R17" s="16"/>
      <c r="S17" s="16"/>
      <c r="T17" s="16"/>
      <c r="U17" s="16"/>
      <c r="V17" s="17"/>
    </row>
    <row r="18" spans="1:22" x14ac:dyDescent="0.35">
      <c r="A18" s="55" t="s">
        <v>63</v>
      </c>
      <c r="B18" s="5" t="s">
        <v>64</v>
      </c>
      <c r="C18" s="39">
        <f>500+(22*C17)</f>
        <v>1855.2</v>
      </c>
      <c r="D18" s="1" t="s">
        <v>65</v>
      </c>
      <c r="F18" s="21" t="s">
        <v>66</v>
      </c>
      <c r="G18" s="16"/>
      <c r="H18" s="16"/>
      <c r="I18" s="16"/>
      <c r="J18" s="16"/>
      <c r="K18" s="16"/>
      <c r="L18" s="16"/>
      <c r="M18" s="16"/>
      <c r="N18" s="16"/>
      <c r="O18" s="16"/>
      <c r="P18" s="16"/>
      <c r="Q18" s="16"/>
      <c r="R18" s="16"/>
      <c r="S18" s="16"/>
      <c r="T18" s="16"/>
      <c r="U18" s="16"/>
      <c r="V18" s="17"/>
    </row>
    <row r="19" spans="1:22" x14ac:dyDescent="0.35">
      <c r="A19" s="55" t="s">
        <v>67</v>
      </c>
      <c r="B19" s="5" t="s">
        <v>64</v>
      </c>
      <c r="C19" s="39">
        <f>(370+(21.6*C17))</f>
        <v>1700.5600000000002</v>
      </c>
      <c r="D19" s="1" t="s">
        <v>68</v>
      </c>
      <c r="F19" s="21" t="s">
        <v>57</v>
      </c>
      <c r="G19" s="22">
        <f>(I19-504.9)/44.73</f>
        <v>66.959534987704004</v>
      </c>
      <c r="H19" s="16" t="s">
        <v>69</v>
      </c>
      <c r="I19" s="16">
        <v>3500</v>
      </c>
      <c r="J19" s="16"/>
      <c r="K19" s="16"/>
      <c r="L19" s="16"/>
      <c r="M19" s="16"/>
      <c r="N19" s="16"/>
      <c r="O19" s="16"/>
      <c r="P19" s="16"/>
      <c r="Q19" s="16"/>
      <c r="R19" s="16"/>
      <c r="S19" s="16"/>
      <c r="T19" s="16"/>
      <c r="U19" s="16"/>
      <c r="V19" s="17"/>
    </row>
    <row r="20" spans="1:22" x14ac:dyDescent="0.35">
      <c r="A20" s="56" t="s">
        <v>70</v>
      </c>
      <c r="B20" s="29" t="s">
        <v>64</v>
      </c>
      <c r="C20" s="43">
        <f>10*C6+6.25*C7*100-5*C5+IF(C4=1,5,-161)</f>
        <v>1700</v>
      </c>
      <c r="D20" s="1" t="s">
        <v>71</v>
      </c>
      <c r="F20" s="21"/>
      <c r="G20" s="16"/>
      <c r="H20" s="16"/>
      <c r="I20" s="16"/>
      <c r="J20" s="16"/>
      <c r="K20" s="16"/>
      <c r="L20" s="16"/>
      <c r="M20" s="16"/>
      <c r="N20" s="16"/>
      <c r="O20" s="16"/>
      <c r="P20" s="16"/>
      <c r="Q20" s="16"/>
      <c r="R20" s="16"/>
      <c r="S20" s="16"/>
      <c r="T20" s="16"/>
      <c r="U20" s="16"/>
      <c r="V20" s="17"/>
    </row>
    <row r="21" spans="1:22" x14ac:dyDescent="0.35">
      <c r="F21" s="21" t="s">
        <v>72</v>
      </c>
      <c r="G21" s="16"/>
      <c r="H21" s="16"/>
      <c r="I21" s="16"/>
      <c r="J21" s="16"/>
      <c r="K21" s="16"/>
      <c r="L21" s="16"/>
      <c r="M21" s="16"/>
      <c r="N21" s="16"/>
      <c r="O21" s="16"/>
      <c r="P21" s="16"/>
      <c r="Q21" s="16"/>
      <c r="R21" s="16"/>
      <c r="S21" s="16"/>
      <c r="T21" s="16"/>
      <c r="U21" s="16"/>
      <c r="V21" s="17"/>
    </row>
    <row r="22" spans="1:22" x14ac:dyDescent="0.35">
      <c r="F22" s="21" t="s">
        <v>73</v>
      </c>
      <c r="G22" s="16"/>
      <c r="H22" s="16"/>
      <c r="I22" s="16"/>
      <c r="J22" s="16"/>
      <c r="K22" s="16"/>
      <c r="L22" s="16"/>
      <c r="M22" s="16"/>
      <c r="N22" s="16"/>
      <c r="O22" s="16"/>
      <c r="P22" s="16"/>
      <c r="Q22" s="16"/>
      <c r="R22" s="16"/>
      <c r="S22" s="16"/>
      <c r="T22" s="16"/>
      <c r="U22" s="16"/>
      <c r="V22" s="17"/>
    </row>
    <row r="23" spans="1:22" x14ac:dyDescent="0.35">
      <c r="F23" s="21" t="s">
        <v>57</v>
      </c>
      <c r="G23" s="22">
        <f>16.61+8.87*I23</f>
        <v>66.281999999999982</v>
      </c>
      <c r="H23" s="23" t="s">
        <v>74</v>
      </c>
      <c r="I23" s="16">
        <v>5.6</v>
      </c>
      <c r="J23" s="18" t="s">
        <v>75</v>
      </c>
      <c r="K23" s="16"/>
      <c r="L23" s="16"/>
      <c r="M23" s="16"/>
      <c r="N23" s="16"/>
      <c r="O23" s="16"/>
      <c r="P23" s="16"/>
      <c r="Q23" s="16"/>
      <c r="R23" s="16"/>
      <c r="S23" s="16"/>
      <c r="T23" s="16"/>
      <c r="U23" s="16"/>
      <c r="V23" s="17"/>
    </row>
    <row r="24" spans="1:22" x14ac:dyDescent="0.35">
      <c r="A24" s="57" t="s">
        <v>76</v>
      </c>
      <c r="B24" s="51"/>
      <c r="C24" s="36"/>
      <c r="F24" s="28"/>
      <c r="G24" s="19"/>
      <c r="H24" s="19"/>
      <c r="I24" s="19"/>
      <c r="J24" s="19"/>
      <c r="K24" s="19"/>
      <c r="L24" s="19"/>
      <c r="M24" s="19"/>
      <c r="N24" s="19"/>
      <c r="O24" s="19"/>
      <c r="P24" s="19"/>
      <c r="Q24" s="19"/>
      <c r="R24" s="19"/>
      <c r="S24" s="19"/>
      <c r="T24" s="19"/>
      <c r="U24" s="19"/>
      <c r="V24" s="20"/>
    </row>
    <row r="25" spans="1:22" x14ac:dyDescent="0.35">
      <c r="A25" s="54" t="s">
        <v>6</v>
      </c>
      <c r="B25" s="50" t="s">
        <v>7</v>
      </c>
      <c r="C25" s="38" t="s">
        <v>8</v>
      </c>
      <c r="D25" s="6" t="s">
        <v>77</v>
      </c>
    </row>
    <row r="26" spans="1:22" x14ac:dyDescent="0.35">
      <c r="A26" s="55" t="s">
        <v>78</v>
      </c>
      <c r="B26" s="5" t="s">
        <v>79</v>
      </c>
      <c r="C26" s="72">
        <v>4.178240740740741E-3</v>
      </c>
    </row>
    <row r="27" spans="1:22" x14ac:dyDescent="0.35">
      <c r="A27" s="55" t="s">
        <v>80</v>
      </c>
      <c r="B27" s="5" t="s">
        <v>81</v>
      </c>
      <c r="C27" s="63">
        <v>6.6921296296296298E-2</v>
      </c>
      <c r="D27" s="6"/>
      <c r="E27" s="71"/>
    </row>
    <row r="28" spans="1:22" x14ac:dyDescent="0.35">
      <c r="A28" s="55" t="s">
        <v>82</v>
      </c>
      <c r="B28" s="5" t="s">
        <v>81</v>
      </c>
      <c r="C28" s="63">
        <v>6.6921296296296298E-2</v>
      </c>
      <c r="D28" s="6"/>
    </row>
    <row r="29" spans="1:22" x14ac:dyDescent="0.35">
      <c r="A29" s="55"/>
      <c r="C29" s="39"/>
    </row>
    <row r="30" spans="1:22" x14ac:dyDescent="0.35">
      <c r="A30" s="55" t="s">
        <v>83</v>
      </c>
      <c r="B30" s="5" t="s">
        <v>33</v>
      </c>
      <c r="C30" s="60">
        <v>125</v>
      </c>
    </row>
    <row r="31" spans="1:22" x14ac:dyDescent="0.35">
      <c r="A31" s="55"/>
      <c r="C31" s="41"/>
      <c r="E31" s="4"/>
    </row>
    <row r="32" spans="1:22" x14ac:dyDescent="0.35">
      <c r="A32" s="55" t="s">
        <v>84</v>
      </c>
      <c r="B32" s="5" t="s">
        <v>42</v>
      </c>
      <c r="C32" s="62">
        <f>(140+143)/16000</f>
        <v>1.7687499999999998E-2</v>
      </c>
    </row>
    <row r="33" spans="1:6" x14ac:dyDescent="0.35">
      <c r="A33" s="55" t="s">
        <v>85</v>
      </c>
      <c r="B33" s="5" t="s">
        <v>28</v>
      </c>
      <c r="C33" s="60">
        <v>140</v>
      </c>
      <c r="F33" s="7"/>
    </row>
    <row r="34" spans="1:6" x14ac:dyDescent="0.35">
      <c r="A34" s="55" t="s">
        <v>86</v>
      </c>
      <c r="B34" s="5" t="s">
        <v>28</v>
      </c>
      <c r="C34" s="60">
        <v>143</v>
      </c>
    </row>
    <row r="35" spans="1:6" x14ac:dyDescent="0.35">
      <c r="A35" s="55"/>
      <c r="C35" s="39"/>
    </row>
    <row r="36" spans="1:6" x14ac:dyDescent="0.35">
      <c r="A36" s="55" t="s">
        <v>87</v>
      </c>
      <c r="B36" s="5" t="s">
        <v>88</v>
      </c>
      <c r="C36" s="61">
        <v>20</v>
      </c>
      <c r="F36" s="4"/>
    </row>
    <row r="37" spans="1:6" x14ac:dyDescent="0.35">
      <c r="A37" s="56" t="s">
        <v>89</v>
      </c>
      <c r="B37" s="29" t="s">
        <v>15</v>
      </c>
      <c r="C37" s="73">
        <v>1.05</v>
      </c>
      <c r="D37" s="1" t="s">
        <v>90</v>
      </c>
    </row>
    <row r="38" spans="1:6" x14ac:dyDescent="0.35">
      <c r="A38" s="55"/>
      <c r="B38" s="1"/>
      <c r="C38" s="1"/>
    </row>
    <row r="41" spans="1:6" x14ac:dyDescent="0.35">
      <c r="A41" s="57" t="s">
        <v>91</v>
      </c>
      <c r="B41" s="51"/>
      <c r="C41" s="36"/>
      <c r="D41" s="1" t="s">
        <v>92</v>
      </c>
    </row>
    <row r="42" spans="1:6" x14ac:dyDescent="0.35">
      <c r="A42" s="54" t="s">
        <v>6</v>
      </c>
      <c r="B42" s="50"/>
      <c r="C42" s="44" t="s">
        <v>60</v>
      </c>
      <c r="D42" s="1" t="s">
        <v>93</v>
      </c>
    </row>
    <row r="43" spans="1:6" x14ac:dyDescent="0.35">
      <c r="A43" s="58" t="s">
        <v>94</v>
      </c>
      <c r="C43" s="42"/>
      <c r="D43" s="59" t="s">
        <v>95</v>
      </c>
    </row>
    <row r="44" spans="1:6" x14ac:dyDescent="0.35">
      <c r="A44" s="55" t="s">
        <v>96</v>
      </c>
      <c r="B44" s="5" t="s">
        <v>97</v>
      </c>
      <c r="C44" s="41">
        <f>+C19/1440*4.184 - IF(C4=1, -95.7735+(0.634*C8)+(0.404*C12)+(0.394*C6)+(0.271*C5), -59.3954+(0.45*C8)+(0.38*C12)+(0.103*C6)+(0.274*C5))</f>
        <v>8.2465715555555477</v>
      </c>
      <c r="D44" s="1" t="str">
        <f>_xlfn.CONCAT("om keytel te calibreren: ",ROUND(C44/4.184,1)," kcal/min in BMR extra(+) or less(-)")</f>
        <v>om keytel te calibreren: 2 kcal/min in BMR extra(+) or less(-)</v>
      </c>
    </row>
    <row r="45" spans="1:6" x14ac:dyDescent="0.35">
      <c r="A45" s="55"/>
      <c r="C45" s="41"/>
    </row>
    <row r="46" spans="1:6" x14ac:dyDescent="0.35">
      <c r="A46" s="58" t="s">
        <v>98</v>
      </c>
      <c r="C46" s="42"/>
    </row>
    <row r="47" spans="1:6" x14ac:dyDescent="0.35">
      <c r="A47" s="55" t="s">
        <v>99</v>
      </c>
      <c r="B47" s="5" t="s">
        <v>100</v>
      </c>
      <c r="C47" s="42">
        <v>1</v>
      </c>
      <c r="D47" s="3" t="s">
        <v>101</v>
      </c>
    </row>
    <row r="48" spans="1:6" x14ac:dyDescent="0.35">
      <c r="A48" s="55" t="s">
        <v>102</v>
      </c>
      <c r="B48" s="5" t="str">
        <f>B47</f>
        <v>speed/HR</v>
      </c>
      <c r="C48" s="42">
        <v>1</v>
      </c>
      <c r="D48" s="3" t="s">
        <v>103</v>
      </c>
    </row>
    <row r="49" spans="1:16" x14ac:dyDescent="0.35">
      <c r="A49" s="55" t="s">
        <v>104</v>
      </c>
      <c r="B49" s="5" t="s">
        <v>15</v>
      </c>
      <c r="C49" s="42">
        <f>C48/C47</f>
        <v>1</v>
      </c>
      <c r="D49" s="1" t="s">
        <v>105</v>
      </c>
    </row>
    <row r="50" spans="1:16" x14ac:dyDescent="0.35">
      <c r="A50" s="55"/>
      <c r="C50" s="42"/>
    </row>
    <row r="51" spans="1:16" x14ac:dyDescent="0.35">
      <c r="A51" s="58" t="s">
        <v>106</v>
      </c>
      <c r="C51" s="42"/>
    </row>
    <row r="52" spans="1:16" x14ac:dyDescent="0.35">
      <c r="A52" s="55" t="s">
        <v>107</v>
      </c>
      <c r="B52" s="5" t="s">
        <v>33</v>
      </c>
      <c r="C52" s="39">
        <f>C30*(1-0.0015*MAX(0,C36-24))*C49</f>
        <v>125</v>
      </c>
      <c r="D52" s="1" t="s">
        <v>108</v>
      </c>
    </row>
    <row r="53" spans="1:16" x14ac:dyDescent="0.35">
      <c r="A53" s="55"/>
      <c r="C53" s="41"/>
    </row>
    <row r="54" spans="1:16" x14ac:dyDescent="0.35">
      <c r="A54" s="58" t="s">
        <v>109</v>
      </c>
      <c r="C54" s="41"/>
    </row>
    <row r="55" spans="1:16" x14ac:dyDescent="0.35">
      <c r="A55" s="55" t="s">
        <v>110</v>
      </c>
      <c r="B55" s="5" t="s">
        <v>15</v>
      </c>
      <c r="C55" s="41">
        <f>MAX(0.7, (0.7+0.3*(C30-C8)/(C9-C8)) - 0.0005*(HOUR(C28)*60+MINUTE(C28)))</f>
        <v>0.80628571428571416</v>
      </c>
      <c r="D55" s="3" t="s">
        <v>111</v>
      </c>
    </row>
    <row r="56" spans="1:16" x14ac:dyDescent="0.35">
      <c r="A56" s="55" t="s">
        <v>112</v>
      </c>
      <c r="B56" s="5" t="s">
        <v>15</v>
      </c>
      <c r="C56" s="41">
        <f>(1.106*C55+3.941)/(1.106*MAX(0.7,(0.7+0.3*(C30-C8)/(C9-C8)))+3.941)</f>
        <v>0.98913431467260493</v>
      </c>
      <c r="D56" s="1" t="s">
        <v>113</v>
      </c>
    </row>
    <row r="57" spans="1:16" x14ac:dyDescent="0.35">
      <c r="A57" s="55"/>
      <c r="C57" s="41"/>
      <c r="D57" s="8" t="s">
        <v>114</v>
      </c>
    </row>
    <row r="58" spans="1:16" x14ac:dyDescent="0.35">
      <c r="A58" s="58" t="s">
        <v>115</v>
      </c>
      <c r="C58" s="41"/>
      <c r="D58" s="8"/>
    </row>
    <row r="59" spans="1:16" x14ac:dyDescent="0.35">
      <c r="A59" s="55" t="s">
        <v>116</v>
      </c>
      <c r="B59" s="5" t="s">
        <v>97</v>
      </c>
      <c r="C59" s="41">
        <f>IF(C4=1, -95.7735+(0.634*C52)+(0.404*C12)+(0.394*C6)+(0.271*C5), -59.3954+(0.45*C52)+(0.38*C12)+(0.103*C6)+(0.274*C5))+C44</f>
        <v>50.589071555555556</v>
      </c>
      <c r="D59" s="1" t="s">
        <v>117</v>
      </c>
      <c r="E59" s="30" t="s">
        <v>118</v>
      </c>
      <c r="F59" s="31" t="s">
        <v>119</v>
      </c>
      <c r="G59" s="31" t="s">
        <v>120</v>
      </c>
      <c r="H59" s="31" t="s">
        <v>121</v>
      </c>
      <c r="I59" s="32" t="s">
        <v>122</v>
      </c>
      <c r="J59" s="14"/>
      <c r="K59" s="14" t="s">
        <v>123</v>
      </c>
      <c r="L59" s="14"/>
      <c r="M59" s="15"/>
      <c r="N59" s="8" t="s">
        <v>124</v>
      </c>
    </row>
    <row r="60" spans="1:16" x14ac:dyDescent="0.35">
      <c r="A60" s="56" t="s">
        <v>125</v>
      </c>
      <c r="B60" s="29" t="s">
        <v>97</v>
      </c>
      <c r="C60" s="45">
        <f>C59*C56</f>
        <v>50.039386623027816</v>
      </c>
      <c r="E60" s="21" t="s">
        <v>126</v>
      </c>
      <c r="F60" s="27">
        <v>1</v>
      </c>
      <c r="G60" s="22">
        <f>H60*4.184</f>
        <v>21.116647999999998</v>
      </c>
      <c r="H60" s="24">
        <v>5.0469999999999997</v>
      </c>
      <c r="I60" s="33" t="s">
        <v>127</v>
      </c>
      <c r="J60" s="16"/>
      <c r="K60" s="16" t="s">
        <v>128</v>
      </c>
      <c r="L60" s="16"/>
      <c r="M60" s="17"/>
      <c r="N60" s="3" t="s">
        <v>129</v>
      </c>
    </row>
    <row r="61" spans="1:16" x14ac:dyDescent="0.35">
      <c r="A61" s="8" t="s">
        <v>130</v>
      </c>
      <c r="B61" s="5" t="s">
        <v>97</v>
      </c>
      <c r="C61" s="2">
        <f>IF(C4=1, -95.7735+(0.634*C30)+(0.404*C12)+(0.394*C6)+(0.271*C5), -59.3954+(0.45*C30)+(0.38*C12)+(0.103*C6)+(0.274*C5))</f>
        <v>42.342500000000008</v>
      </c>
      <c r="E61" s="21" t="s">
        <v>131</v>
      </c>
      <c r="F61" s="27">
        <v>0.95</v>
      </c>
      <c r="G61" s="22">
        <f t="shared" ref="G61:G64" si="0">H61*4.184</f>
        <v>20.864910666666667</v>
      </c>
      <c r="H61" s="24">
        <f>$H$60*(F61-0.7)/0.3+$H$64*(1-(F61-0.7)/0.3)</f>
        <v>4.9868333333333332</v>
      </c>
      <c r="I61" s="33" t="s">
        <v>132</v>
      </c>
      <c r="J61" s="16"/>
      <c r="K61" s="16"/>
      <c r="L61" s="16"/>
      <c r="M61" s="17"/>
    </row>
    <row r="62" spans="1:16" x14ac:dyDescent="0.35">
      <c r="A62" s="8" t="s">
        <v>133</v>
      </c>
      <c r="B62" s="5" t="s">
        <v>134</v>
      </c>
      <c r="C62" s="2">
        <f>(C60* (C55-0.707)/0.293)/17.6</f>
        <v>0.96342620293327819</v>
      </c>
      <c r="D62" s="1" t="s">
        <v>135</v>
      </c>
      <c r="E62" s="21" t="s">
        <v>136</v>
      </c>
      <c r="F62" s="27">
        <v>0.85</v>
      </c>
      <c r="G62" s="22">
        <f t="shared" si="0"/>
        <v>20.361436000000001</v>
      </c>
      <c r="H62" s="24">
        <f>$H$60*(F62-0.7)/0.3+$H$64*(1-(F62-0.7)/0.3)</f>
        <v>4.8665000000000003</v>
      </c>
      <c r="I62" s="33" t="s">
        <v>137</v>
      </c>
      <c r="J62" s="16"/>
      <c r="K62" s="16"/>
      <c r="L62" s="16"/>
      <c r="M62" s="17"/>
      <c r="N62" s="3" t="s">
        <v>138</v>
      </c>
    </row>
    <row r="63" spans="1:16" x14ac:dyDescent="0.35">
      <c r="A63" s="35" t="s">
        <v>139</v>
      </c>
      <c r="B63" s="5" t="s">
        <v>140</v>
      </c>
      <c r="C63" s="2">
        <f>(C60* (1-C55)/0.293)/39.4</f>
        <v>0.83967221957873417</v>
      </c>
      <c r="E63" s="21" t="s">
        <v>141</v>
      </c>
      <c r="F63" s="27">
        <v>0.75</v>
      </c>
      <c r="G63" s="22">
        <f t="shared" si="0"/>
        <v>19.857961333333332</v>
      </c>
      <c r="H63" s="24">
        <f>$H$60*(F63-0.7)/0.3+$H$64*(1-(F63-0.7)/0.3)</f>
        <v>4.7461666666666664</v>
      </c>
      <c r="I63" s="33" t="s">
        <v>142</v>
      </c>
      <c r="J63" s="16"/>
      <c r="K63" s="16"/>
      <c r="L63" s="16"/>
      <c r="M63" s="17"/>
      <c r="N63" s="1">
        <f>(0.85-0.7)/0.3</f>
        <v>0.50000000000000011</v>
      </c>
      <c r="O63" s="1">
        <f>5.05/2+4.69/2</f>
        <v>4.87</v>
      </c>
      <c r="P63" s="1" t="s">
        <v>121</v>
      </c>
    </row>
    <row r="64" spans="1:16" x14ac:dyDescent="0.35">
      <c r="C64" s="2"/>
      <c r="E64" s="28" t="s">
        <v>143</v>
      </c>
      <c r="F64" s="34">
        <v>0.7</v>
      </c>
      <c r="G64" s="86">
        <f t="shared" si="0"/>
        <v>19.606224000000001</v>
      </c>
      <c r="H64" s="87">
        <v>4.6859999999999999</v>
      </c>
      <c r="I64" s="88" t="s">
        <v>144</v>
      </c>
      <c r="J64" s="19"/>
      <c r="K64" s="19"/>
      <c r="L64" s="19"/>
      <c r="M64" s="20"/>
    </row>
    <row r="65" spans="1:4" x14ac:dyDescent="0.35">
      <c r="C65" s="2"/>
    </row>
    <row r="66" spans="1:4" x14ac:dyDescent="0.35">
      <c r="A66" s="57" t="s">
        <v>145</v>
      </c>
      <c r="B66" s="51"/>
      <c r="C66" s="36"/>
    </row>
    <row r="67" spans="1:4" x14ac:dyDescent="0.35">
      <c r="A67" s="54" t="s">
        <v>6</v>
      </c>
      <c r="B67" s="50"/>
      <c r="C67" s="44" t="s">
        <v>60</v>
      </c>
    </row>
    <row r="68" spans="1:4" x14ac:dyDescent="0.35">
      <c r="A68" s="58" t="s">
        <v>146</v>
      </c>
      <c r="C68" s="42"/>
      <c r="D68" s="1" t="s">
        <v>147</v>
      </c>
    </row>
    <row r="69" spans="1:4" x14ac:dyDescent="0.35">
      <c r="A69" s="55" t="s">
        <v>148</v>
      </c>
      <c r="B69" s="5" t="s">
        <v>52</v>
      </c>
      <c r="C69" s="41">
        <f>C19/1440/4.82*1000/C6</f>
        <v>3.5001317262728051</v>
      </c>
      <c r="D69" s="1" t="s">
        <v>149</v>
      </c>
    </row>
    <row r="70" spans="1:4" x14ac:dyDescent="0.35">
      <c r="A70" s="55"/>
      <c r="C70" s="42"/>
      <c r="D70" s="1" t="s">
        <v>150</v>
      </c>
    </row>
    <row r="71" spans="1:4" x14ac:dyDescent="0.35">
      <c r="A71" s="58" t="s">
        <v>151</v>
      </c>
      <c r="C71" s="42"/>
      <c r="D71" s="59" t="s">
        <v>152</v>
      </c>
    </row>
    <row r="72" spans="1:4" x14ac:dyDescent="0.35">
      <c r="A72" s="55" t="s">
        <v>153</v>
      </c>
      <c r="B72" s="5" t="s">
        <v>15</v>
      </c>
      <c r="C72" s="41">
        <f>C37</f>
        <v>1.05</v>
      </c>
    </row>
    <row r="73" spans="1:4" x14ac:dyDescent="0.35">
      <c r="A73" s="55"/>
      <c r="C73" s="42"/>
    </row>
    <row r="74" spans="1:4" x14ac:dyDescent="0.35">
      <c r="A74" s="58" t="s">
        <v>154</v>
      </c>
      <c r="C74" s="42"/>
    </row>
    <row r="75" spans="1:4" x14ac:dyDescent="0.35">
      <c r="A75" s="55" t="s">
        <v>155</v>
      </c>
      <c r="B75" s="5" t="s">
        <v>15</v>
      </c>
      <c r="C75" s="41">
        <f>1+MIN(0.25, C76+C77+C78)</f>
        <v>1.0192000000000001</v>
      </c>
      <c r="D75" s="1" t="s">
        <v>156</v>
      </c>
    </row>
    <row r="76" spans="1:4" x14ac:dyDescent="0.35">
      <c r="A76" s="55" t="s">
        <v>157</v>
      </c>
      <c r="B76" s="5" t="s">
        <v>15</v>
      </c>
      <c r="C76" s="41">
        <f>IF(HOUR(C28)&lt;12,0.005*HOUR(C28), IF(HOUR(C28)&lt;24,MIN(0.1,0.005*HOUR(C28)+0.0025*HOUR(C28)),0.1))</f>
        <v>5.0000000000000001E-3</v>
      </c>
      <c r="D76" s="1" t="s">
        <v>158</v>
      </c>
    </row>
    <row r="77" spans="1:4" x14ac:dyDescent="0.35">
      <c r="A77" s="55" t="s">
        <v>159</v>
      </c>
      <c r="B77" s="5" t="s">
        <v>15</v>
      </c>
      <c r="C77" s="41">
        <f>(C33/300)*0.01</f>
        <v>4.6666666666666671E-3</v>
      </c>
      <c r="D77" s="1" t="s">
        <v>160</v>
      </c>
    </row>
    <row r="78" spans="1:4" x14ac:dyDescent="0.35">
      <c r="A78" s="55" t="s">
        <v>161</v>
      </c>
      <c r="B78" s="5" t="s">
        <v>15</v>
      </c>
      <c r="C78" s="41">
        <f>(C34/300)*0.02</f>
        <v>9.5333333333333346E-3</v>
      </c>
      <c r="D78" s="1" t="s">
        <v>162</v>
      </c>
    </row>
    <row r="79" spans="1:4" x14ac:dyDescent="0.35">
      <c r="A79" s="55"/>
      <c r="C79" s="41"/>
    </row>
    <row r="80" spans="1:4" x14ac:dyDescent="0.35">
      <c r="A80" s="58" t="s">
        <v>163</v>
      </c>
      <c r="C80" s="42"/>
    </row>
    <row r="81" spans="1:4" x14ac:dyDescent="0.35">
      <c r="A81" s="55" t="s">
        <v>164</v>
      </c>
      <c r="B81" s="5" t="s">
        <v>165</v>
      </c>
      <c r="C81" s="41">
        <f>(155.4*POWER(C32,5) - 30.4*POWER(C32,4) - 43.3*POWER(C32,3) + 46.3*POWER(C32,2) + 19.5*C32 + C69)*C72*C75</f>
        <v>4.1300476371885608</v>
      </c>
      <c r="D81" s="3" t="s">
        <v>166</v>
      </c>
    </row>
    <row r="82" spans="1:4" x14ac:dyDescent="0.35">
      <c r="A82" s="55" t="s">
        <v>167</v>
      </c>
      <c r="B82" s="5" t="s">
        <v>168</v>
      </c>
      <c r="C82" s="39">
        <f>1/((MINUTE(C26)*60+SECOND(C26))/60/1000)</f>
        <v>166.2049861495845</v>
      </c>
      <c r="D82" s="3"/>
    </row>
    <row r="83" spans="1:4" x14ac:dyDescent="0.35">
      <c r="A83" s="129" t="s">
        <v>169</v>
      </c>
      <c r="B83" s="5" t="s">
        <v>97</v>
      </c>
      <c r="C83" s="46">
        <f>C81*C82*C6/1000</f>
        <v>48.050415723523422</v>
      </c>
      <c r="D83" s="1" t="s">
        <v>170</v>
      </c>
    </row>
    <row r="84" spans="1:4" x14ac:dyDescent="0.35">
      <c r="A84" s="130"/>
      <c r="B84" s="29"/>
      <c r="C84" s="47"/>
    </row>
    <row r="85" spans="1:4" x14ac:dyDescent="0.35">
      <c r="A85" s="35" t="s">
        <v>171</v>
      </c>
      <c r="B85" s="5" t="s">
        <v>97</v>
      </c>
      <c r="C85" s="2">
        <f>(155.4*POWER(C32,5) - 30.4*POWER(C32,4) - 43.3*POWER(C32,3) + 46.3*POWER(C32,2) + 19.5*C32 + 3.6)*C82*C6/1000</f>
        <v>46.062118885274799</v>
      </c>
    </row>
    <row r="86" spans="1:4" x14ac:dyDescent="0.35">
      <c r="A86" s="35" t="s">
        <v>133</v>
      </c>
      <c r="B86" s="5" t="s">
        <v>134</v>
      </c>
      <c r="C86" s="2">
        <f>(C83* (C55-0.707)/0.293)/17.6</f>
        <v>0.92513183502085328</v>
      </c>
    </row>
    <row r="87" spans="1:4" x14ac:dyDescent="0.35">
      <c r="A87" s="35" t="s">
        <v>139</v>
      </c>
      <c r="B87" s="5" t="s">
        <v>140</v>
      </c>
      <c r="C87" s="2">
        <f>(C83* (1-C55)/0.293)/39.4</f>
        <v>0.80629683825270093</v>
      </c>
    </row>
    <row r="88" spans="1:4" x14ac:dyDescent="0.35">
      <c r="A88" s="35"/>
      <c r="C88" s="2"/>
    </row>
    <row r="89" spans="1:4" x14ac:dyDescent="0.35">
      <c r="C89" s="2"/>
    </row>
    <row r="90" spans="1:4" x14ac:dyDescent="0.35">
      <c r="A90" s="57" t="s">
        <v>172</v>
      </c>
      <c r="B90" s="48"/>
      <c r="C90" s="36"/>
      <c r="D90" s="1" t="s">
        <v>173</v>
      </c>
    </row>
    <row r="91" spans="1:4" x14ac:dyDescent="0.35">
      <c r="A91" s="54" t="s">
        <v>6</v>
      </c>
      <c r="B91" s="50"/>
      <c r="C91" s="38" t="s">
        <v>60</v>
      </c>
      <c r="D91" s="1" t="s">
        <v>174</v>
      </c>
    </row>
    <row r="92" spans="1:4" x14ac:dyDescent="0.35">
      <c r="A92" s="55" t="s">
        <v>175</v>
      </c>
      <c r="B92" s="5" t="str" cm="1">
        <f t="array" ref="B92:C92">B60:C60</f>
        <v>kJ/min</v>
      </c>
      <c r="C92" s="41">
        <v>50.039386623027816</v>
      </c>
    </row>
    <row r="93" spans="1:4" x14ac:dyDescent="0.35">
      <c r="A93" s="55" t="s">
        <v>176</v>
      </c>
      <c r="B93" s="5" t="str" cm="1">
        <f t="array" ref="B93:C93">B83:C83</f>
        <v>kJ/min</v>
      </c>
      <c r="C93" s="41">
        <v>48.050415723523422</v>
      </c>
    </row>
    <row r="94" spans="1:4" x14ac:dyDescent="0.35">
      <c r="A94" s="55"/>
      <c r="C94" s="41"/>
    </row>
    <row r="95" spans="1:4" x14ac:dyDescent="0.35">
      <c r="A95" s="55" t="s">
        <v>177</v>
      </c>
      <c r="B95" s="5" t="s">
        <v>15</v>
      </c>
      <c r="C95" s="41">
        <f>C93/C92</f>
        <v>0.96025189288413293</v>
      </c>
      <c r="D95" s="1" t="s">
        <v>178</v>
      </c>
    </row>
    <row r="96" spans="1:4" x14ac:dyDescent="0.35">
      <c r="A96" s="55"/>
      <c r="C96" s="41"/>
      <c r="D96" s="1" t="s">
        <v>179</v>
      </c>
    </row>
    <row r="97" spans="1:5" x14ac:dyDescent="0.35">
      <c r="A97" s="55" t="s">
        <v>180</v>
      </c>
      <c r="B97" s="5" t="s">
        <v>181</v>
      </c>
      <c r="C97" s="39">
        <f>(C92 / 4.184) * (HOUR(C28)*60+MINUTE(C28))</f>
        <v>1148.131241828554</v>
      </c>
    </row>
    <row r="98" spans="1:5" x14ac:dyDescent="0.35">
      <c r="A98" s="67" t="s">
        <v>182</v>
      </c>
      <c r="B98" s="68" t="s">
        <v>181</v>
      </c>
      <c r="C98" s="69">
        <f>C97-C19*(HOUR(C28)+MINUTE(C28)/60)/24</f>
        <v>1034.7605751618873</v>
      </c>
    </row>
    <row r="99" spans="1:5" x14ac:dyDescent="0.35">
      <c r="A99" s="55" t="s">
        <v>183</v>
      </c>
      <c r="B99" s="5" t="s">
        <v>181</v>
      </c>
      <c r="C99" s="39">
        <f>(C93 / 4.184) * (HOUR(C28)*60+MINUTE(C28))</f>
        <v>1102.4951982452794</v>
      </c>
    </row>
    <row r="100" spans="1:5" x14ac:dyDescent="0.35">
      <c r="A100" s="64" t="s">
        <v>184</v>
      </c>
      <c r="B100" s="65" t="s">
        <v>181</v>
      </c>
      <c r="C100" s="66">
        <f>C99-C19*(HOUR(C28)+MINUTE(C28)/60)/24</f>
        <v>989.12453157861273</v>
      </c>
    </row>
    <row r="101" spans="1:5" x14ac:dyDescent="0.35">
      <c r="C101" s="2"/>
    </row>
    <row r="102" spans="1:5" x14ac:dyDescent="0.35">
      <c r="A102" s="8" t="s">
        <v>185</v>
      </c>
      <c r="C102" s="2"/>
    </row>
    <row r="103" spans="1:5" x14ac:dyDescent="0.35">
      <c r="A103" s="8" t="s">
        <v>186</v>
      </c>
      <c r="C103" s="2"/>
    </row>
    <row r="104" spans="1:5" x14ac:dyDescent="0.35">
      <c r="A104" s="8" t="s">
        <v>187</v>
      </c>
      <c r="C104" s="2"/>
    </row>
    <row r="105" spans="1:5" x14ac:dyDescent="0.35">
      <c r="A105" s="8" t="s">
        <v>124</v>
      </c>
      <c r="C105" s="2"/>
    </row>
    <row r="106" spans="1:5" x14ac:dyDescent="0.35">
      <c r="C106" s="2"/>
    </row>
    <row r="107" spans="1:5" x14ac:dyDescent="0.35">
      <c r="A107" s="8" t="s">
        <v>188</v>
      </c>
      <c r="C107" s="2"/>
    </row>
    <row r="108" spans="1:5" x14ac:dyDescent="0.35">
      <c r="C108" s="2"/>
    </row>
    <row r="109" spans="1:5" x14ac:dyDescent="0.35">
      <c r="C109" s="74" t="s">
        <v>189</v>
      </c>
    </row>
    <row r="110" spans="1:5" x14ac:dyDescent="0.35">
      <c r="B110" s="83"/>
      <c r="C110" s="84" t="s">
        <v>190</v>
      </c>
      <c r="D110" s="84" t="s">
        <v>191</v>
      </c>
      <c r="E110" s="85" t="s">
        <v>192</v>
      </c>
    </row>
    <row r="111" spans="1:5" x14ac:dyDescent="0.35">
      <c r="B111" s="76" t="s">
        <v>193</v>
      </c>
      <c r="D111" s="77">
        <f>C97</f>
        <v>1148.131241828554</v>
      </c>
      <c r="E111" s="39">
        <f>C99</f>
        <v>1102.4951982452794</v>
      </c>
    </row>
    <row r="112" spans="1:5" x14ac:dyDescent="0.35">
      <c r="B112" s="78" t="s">
        <v>194</v>
      </c>
      <c r="C112" s="29">
        <v>1051</v>
      </c>
      <c r="D112" s="79">
        <f>C98</f>
        <v>1034.7605751618873</v>
      </c>
      <c r="E112" s="43">
        <f>C100</f>
        <v>989.12453157861273</v>
      </c>
    </row>
    <row r="113" spans="2:5" x14ac:dyDescent="0.35">
      <c r="B113" s="80" t="s">
        <v>195</v>
      </c>
      <c r="C113" s="75"/>
      <c r="D113" s="81">
        <f>(C61 / 4.184) * (HOUR(C28)*60+MINUTE(C28))</f>
        <v>971.52963671128123</v>
      </c>
      <c r="E113" s="82">
        <f>(C85 / 4.184) * (HOUR(C28)*60+MINUTE(C28))</f>
        <v>1056.8746206946416</v>
      </c>
    </row>
    <row r="114" spans="2:5" x14ac:dyDescent="0.35">
      <c r="B114" s="78" t="s">
        <v>196</v>
      </c>
      <c r="C114" s="29"/>
      <c r="D114" s="79">
        <f>D113-C19*(HOUR(C28)+MINUTE(C28)/60)/24</f>
        <v>858.15897004461453</v>
      </c>
      <c r="E114" s="43">
        <f>E113-C19*(HOUR(C28)+MINUTE(C28)/60)/24</f>
        <v>943.50395402797494</v>
      </c>
    </row>
  </sheetData>
  <mergeCells count="1">
    <mergeCell ref="A83:A84"/>
  </mergeCells>
  <pageMargins left="0.75" right="0.75" top="1" bottom="1" header="0.5" footer="0.5"/>
  <pageSetup paperSize="9"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C385A-1C58-410F-A9D2-C330EDA3C8C8}">
  <dimension ref="A1:AI505"/>
  <sheetViews>
    <sheetView tabSelected="1" workbookViewId="0">
      <pane ySplit="2" topLeftCell="A3" activePane="bottomLeft" state="frozen"/>
      <selection pane="bottomLeft" activeCell="AG3" sqref="AG3"/>
    </sheetView>
  </sheetViews>
  <sheetFormatPr defaultRowHeight="14.5" x14ac:dyDescent="0.35"/>
  <cols>
    <col min="1" max="1" width="29.54296875" customWidth="1"/>
    <col min="2" max="3" width="11" customWidth="1"/>
    <col min="4" max="4" width="7.54296875" customWidth="1"/>
    <col min="5" max="5" width="8.26953125" style="5" customWidth="1"/>
    <col min="6" max="6" width="6.54296875" style="5" customWidth="1"/>
    <col min="7" max="7" width="11.54296875" style="5" bestFit="1" customWidth="1"/>
    <col min="8" max="8" width="12.54296875" style="5" bestFit="1" customWidth="1"/>
    <col min="9" max="9" width="14.1796875" style="5" bestFit="1" customWidth="1"/>
    <col min="10" max="10" width="12.7265625" style="5" bestFit="1" customWidth="1"/>
    <col min="11" max="11" width="11.7265625" style="5" bestFit="1" customWidth="1"/>
    <col min="12" max="12" width="12.81640625" style="5" bestFit="1" customWidth="1"/>
    <col min="13" max="13" width="7.54296875" style="5" customWidth="1"/>
    <col min="14" max="14" width="7.26953125" style="5" bestFit="1" customWidth="1"/>
    <col min="15" max="15" width="16" style="5" bestFit="1" customWidth="1"/>
    <col min="16" max="16" width="9" style="5" customWidth="1"/>
    <col min="17" max="17" width="7.54296875" style="5" customWidth="1"/>
    <col min="18" max="18" width="12.1796875" style="5" bestFit="1" customWidth="1"/>
    <col min="19" max="19" width="10.453125" style="5" bestFit="1" customWidth="1"/>
    <col min="20" max="20" width="12.26953125" style="5" bestFit="1" customWidth="1"/>
    <col min="21" max="21" width="7.54296875" style="5" customWidth="1"/>
    <col min="22" max="22" width="11.54296875" style="5" bestFit="1" customWidth="1"/>
    <col min="23" max="23" width="10.54296875" style="5" bestFit="1" customWidth="1"/>
    <col min="24" max="24" width="7.81640625" style="5" bestFit="1" customWidth="1"/>
    <col min="25" max="25" width="11.1796875" style="5" bestFit="1" customWidth="1"/>
    <col min="26" max="26" width="15.453125" style="5" bestFit="1" customWidth="1"/>
    <col min="27" max="27" width="13.1796875" style="5" bestFit="1" customWidth="1"/>
    <col min="28" max="29" width="13.1796875" style="5" customWidth="1"/>
    <col min="30" max="30" width="7.54296875" style="5" customWidth="1"/>
    <col min="31" max="31" width="9.7265625" style="68" customWidth="1"/>
    <col min="32" max="32" width="13.54296875" bestFit="1" customWidth="1"/>
    <col min="33" max="33" width="3.7265625" customWidth="1"/>
    <col min="34" max="34" width="11.81640625" bestFit="1" customWidth="1"/>
  </cols>
  <sheetData>
    <row r="1" spans="1:35" x14ac:dyDescent="0.35">
      <c r="A1" s="111" t="s">
        <v>197</v>
      </c>
      <c r="E1" s="100" cm="1">
        <f t="array" ref="E1">_xlfn.XLOOKUP(TRUE,E:E&lt;&gt;"",E:E,,,-1)</f>
        <v>1.3333333333333854</v>
      </c>
      <c r="F1" s="5">
        <f>AVERAGEIF(F3:F2000,"&lt;&gt;0")</f>
        <v>20</v>
      </c>
      <c r="G1" s="97">
        <f>AVERAGEIF(G3:G2000,"&lt;&gt;0")</f>
        <v>140</v>
      </c>
      <c r="H1" s="106">
        <f>AVERAGEIF(H3:H2000,"&lt;&gt;0")</f>
        <v>3.8194444444444218E-3</v>
      </c>
      <c r="I1" s="110">
        <f t="shared" ref="I1:J1" si="0">AVERAGEIF(I3:I2000,"&lt;&gt;0")</f>
        <v>1.7687500000000016E-2</v>
      </c>
      <c r="J1" s="2">
        <f t="shared" si="0"/>
        <v>1.050000000000008</v>
      </c>
      <c r="K1" s="5" cm="1">
        <f t="array" ref="K1">_xlfn.XLOOKUP(TRUE,K:K&lt;&gt;"",K:K,,,-1)</f>
        <v>0</v>
      </c>
      <c r="L1" s="5" cm="1">
        <f t="array" ref="L1">_xlfn.XLOOKUP(TRUE,L:L&lt;&gt;"",L:L,,,-1)</f>
        <v>0</v>
      </c>
      <c r="N1" s="97">
        <f t="shared" ref="N1:Y1" si="1">AVERAGEIF(N3:N2000,"&lt;&gt;0")</f>
        <v>140</v>
      </c>
      <c r="R1" s="96">
        <f t="shared" si="1"/>
        <v>4.1234965085123649</v>
      </c>
      <c r="S1" s="96">
        <f t="shared" si="1"/>
        <v>0.97918517002429073</v>
      </c>
      <c r="T1" s="96">
        <f t="shared" si="1"/>
        <v>60.099071555556051</v>
      </c>
      <c r="U1" s="96"/>
      <c r="V1" s="96">
        <f t="shared" si="1"/>
        <v>52.480864653793695</v>
      </c>
      <c r="W1" s="96">
        <f t="shared" si="1"/>
        <v>58.848119599428642</v>
      </c>
      <c r="X1" s="96">
        <f>AVERAGEIF(X3:X2000,"&lt;&gt;0")</f>
        <v>0.7938084122114305</v>
      </c>
      <c r="Y1" s="96">
        <f t="shared" si="1"/>
        <v>1.0476330068025219</v>
      </c>
      <c r="Z1" s="97" cm="1">
        <f t="array" ref="Z1">_xlfn.XLOOKUP(TRUE,Z:Z&lt;&gt;"",Z:Z,,,-1)</f>
        <v>502.86384326521056</v>
      </c>
      <c r="AA1" s="97" cm="1">
        <f t="array" ref="AA1">_xlfn.XLOOKUP(TRUE,AA:AA&lt;&gt;"",AA:AA,,,-1)</f>
        <v>-96.303843265210219</v>
      </c>
      <c r="AB1" s="97" cm="1">
        <f t="array" ref="AB1">_xlfn.XLOOKUP(TRUE,AB:AB&lt;&gt;"",AB:AB,,,-1)</f>
        <v>263.69615673478972</v>
      </c>
      <c r="AC1" s="97" cm="1">
        <f t="array" ref="AC1">_xlfn.XLOOKUP(TRUE,AC:AC&lt;&gt;"",AC:AC,,,-1)</f>
        <v>6751.2183096858862</v>
      </c>
      <c r="AD1" s="97"/>
    </row>
    <row r="2" spans="1:35" s="98" customFormat="1" x14ac:dyDescent="0.35">
      <c r="A2" s="116" t="s">
        <v>198</v>
      </c>
      <c r="B2"/>
      <c r="C2"/>
      <c r="E2" s="107" t="s">
        <v>199</v>
      </c>
      <c r="F2" s="108" t="s">
        <v>88</v>
      </c>
      <c r="G2" s="108" t="s">
        <v>200</v>
      </c>
      <c r="H2" s="118" t="s">
        <v>201</v>
      </c>
      <c r="I2" s="118" t="s">
        <v>202</v>
      </c>
      <c r="J2" s="118" t="s">
        <v>203</v>
      </c>
      <c r="K2" s="118" t="s">
        <v>204</v>
      </c>
      <c r="L2" s="118" t="s">
        <v>205</v>
      </c>
      <c r="M2" s="5"/>
      <c r="N2" s="125" t="s">
        <v>107</v>
      </c>
      <c r="O2" s="109" t="s">
        <v>206</v>
      </c>
      <c r="P2" s="109" t="s">
        <v>155</v>
      </c>
      <c r="Q2" s="5"/>
      <c r="R2" s="109" t="s">
        <v>207</v>
      </c>
      <c r="S2" s="125" t="s">
        <v>112</v>
      </c>
      <c r="T2" s="125" t="s">
        <v>208</v>
      </c>
      <c r="U2" s="97"/>
      <c r="V2" s="124" t="s">
        <v>209</v>
      </c>
      <c r="W2" s="125" t="s">
        <v>210</v>
      </c>
      <c r="X2" s="123" t="s">
        <v>110</v>
      </c>
      <c r="Y2" s="123" t="s">
        <v>134</v>
      </c>
      <c r="Z2" s="123" t="s">
        <v>211</v>
      </c>
      <c r="AA2" s="123" t="s">
        <v>212</v>
      </c>
      <c r="AB2" s="123" t="s">
        <v>213</v>
      </c>
      <c r="AC2" s="123" t="s">
        <v>214</v>
      </c>
      <c r="AD2" s="97"/>
      <c r="AE2" s="68" t="s">
        <v>215</v>
      </c>
      <c r="AF2" s="101" t="s">
        <v>216</v>
      </c>
    </row>
    <row r="3" spans="1:35" x14ac:dyDescent="0.35">
      <c r="A3" s="122" t="s">
        <v>217</v>
      </c>
      <c r="E3" s="100">
        <v>1.0006944444444446</v>
      </c>
      <c r="F3" s="5">
        <v>20</v>
      </c>
      <c r="G3" s="127">
        <v>140</v>
      </c>
      <c r="H3" s="126">
        <v>3.8194444444444443E-3</v>
      </c>
      <c r="I3" s="110">
        <f>(140+143)/16000</f>
        <v>1.7687499999999998E-2</v>
      </c>
      <c r="J3" s="5">
        <v>1.05</v>
      </c>
      <c r="K3" s="5">
        <v>0</v>
      </c>
      <c r="L3" s="5">
        <v>0</v>
      </c>
      <c r="N3" s="5">
        <f t="shared" ref="N3:N66" si="2">G3*(1-0.0015*MAX(0,F3-24))*1</f>
        <v>140</v>
      </c>
      <c r="O3" s="97">
        <f t="shared" ref="O3:O66" si="3">1/((MINUTE(H3)*60+SECOND(H3))/60/1000)</f>
        <v>181.81818181818184</v>
      </c>
      <c r="P3" s="5">
        <f t="shared" ref="P3:P66" si="4">1+MIN(0.25, IF(HOUR(E3)&lt;12,0.005*HOUR(E3), IF(HOUR(E3)&lt;24,MIN(0.1,0.005*HOUR(E3)+0.0025*HOUR(E3)),0.1))  +  (K3/300)*0.01  +  (L3/300)*0.02)</f>
        <v>1</v>
      </c>
      <c r="R3" s="96">
        <f t="shared" ref="R3:R66" si="5">(155.4*POWER(I3,5) - 30.4*POWER(I3,4) - 43.3*POWER(I3,3) + 46.3*POWER(I3,2) + 19.5*I3 + $C$31)*J3*P3</f>
        <v>4.0522445419824962</v>
      </c>
      <c r="S3" s="95">
        <f t="shared" ref="S3:S66" si="6">(1.106*X3+3.941)/(1.106*MAX(0.7,(0.7+0.3*(G3-$C$16)/($C$17-$C$16)))+3.941)</f>
        <v>1</v>
      </c>
      <c r="T3" s="96">
        <f t="shared" ref="T3:T66" si="7">IF($C$12=1, -95.7735+(0.634*N3)+(0.404*$C$19)+(0.394*$C$14)+(0.271*$C$13), -59.3954+(0.45*N3)+(0.38*$C$19)+(0.103*$C$14)+(0.274*$C$13))+$C$30</f>
        <v>60.099071555555561</v>
      </c>
      <c r="U3" s="97"/>
      <c r="V3" s="97">
        <f>O3*R3*$C$14/1000</f>
        <v>51.574021443413592</v>
      </c>
      <c r="W3" s="96">
        <f>S3*T3</f>
        <v>60.099071555555561</v>
      </c>
      <c r="X3" s="96">
        <f>MAX(0.7, (0.7+0.3*(G3-$C$16)/($C$17-$C$16)))</f>
        <v>0.88642857142857134</v>
      </c>
      <c r="Y3" s="96">
        <f t="shared" ref="Y3:Y66" si="8">(MAX(V3,W3) * (X3-0.7)/0.3)/17.6</f>
        <v>2.1220045557359306</v>
      </c>
      <c r="Z3" s="96">
        <f>Y3</f>
        <v>2.1220045557359306</v>
      </c>
      <c r="AA3" s="97">
        <f>$C$29-Y3</f>
        <v>404.43799544426412</v>
      </c>
      <c r="AB3" s="97">
        <f>$C$29-Y3+IF(MOD(60*HOUR(E3)+MINUTE(E3),MINUTE($C$35))=0,$C$34,0)</f>
        <v>404.43799544426412</v>
      </c>
      <c r="AC3" s="97">
        <f>MAX(V3,W3)/4.184</f>
        <v>14.364022838325898</v>
      </c>
      <c r="AD3" s="97"/>
      <c r="AE3" s="105">
        <f t="shared" ref="AE3:AE66" si="9">MOD(Z3,30)</f>
        <v>2.1220045557359306</v>
      </c>
      <c r="AF3" s="93" cm="1">
        <f t="array" ref="AF3:AF18">_xlfn._xlws.FILTER(E4:E482,AE3:AE481&gt;AE4:AE482)</f>
        <v>1.0111111111111128</v>
      </c>
      <c r="AH3" s="104" t="s">
        <v>218</v>
      </c>
      <c r="AI3" s="102">
        <f>SUM(Z1)</f>
        <v>502.86384326521056</v>
      </c>
    </row>
    <row r="4" spans="1:35" x14ac:dyDescent="0.35">
      <c r="A4" s="117" t="s">
        <v>219</v>
      </c>
      <c r="E4" s="100">
        <f>E3+TIME(0,1,0)</f>
        <v>1.0013888888888891</v>
      </c>
      <c r="F4" s="5">
        <v>20</v>
      </c>
      <c r="G4" s="5">
        <f>G3</f>
        <v>140</v>
      </c>
      <c r="H4" s="106">
        <f>H3</f>
        <v>3.8194444444444443E-3</v>
      </c>
      <c r="I4" s="110">
        <f t="shared" ref="I4:I67" si="10">(140+143)/16000</f>
        <v>1.7687499999999998E-2</v>
      </c>
      <c r="J4" s="5">
        <v>1.05</v>
      </c>
      <c r="K4" s="5">
        <v>0</v>
      </c>
      <c r="L4" s="5">
        <v>0</v>
      </c>
      <c r="N4" s="5">
        <f t="shared" si="2"/>
        <v>140</v>
      </c>
      <c r="O4" s="97">
        <f t="shared" si="3"/>
        <v>181.81818181818184</v>
      </c>
      <c r="P4" s="5">
        <f t="shared" si="4"/>
        <v>1</v>
      </c>
      <c r="R4" s="96">
        <f t="shared" si="5"/>
        <v>4.0522445419824962</v>
      </c>
      <c r="S4" s="95">
        <f t="shared" si="6"/>
        <v>0.99964810729516074</v>
      </c>
      <c r="T4" s="96">
        <f t="shared" si="7"/>
        <v>60.099071555555561</v>
      </c>
      <c r="U4" s="97"/>
      <c r="V4" s="97">
        <f t="shared" ref="V4:V67" si="11">O4*R4*$C$14/1000</f>
        <v>51.574021443413592</v>
      </c>
      <c r="W4" s="96">
        <f t="shared" ref="W4:W62" si="12">S4*T4</f>
        <v>60.077923130707546</v>
      </c>
      <c r="X4" s="96">
        <f>MAX(0.7, (0.7+0.3*(G4-$C$16)/($C$17-$C$16)) - 0.3*($C$29-AB3)/$C$29)</f>
        <v>0.88486274752380756</v>
      </c>
      <c r="Y4" s="96">
        <f t="shared" si="8"/>
        <v>2.1034412756565737</v>
      </c>
      <c r="Z4" s="96">
        <f>Z3+Y4</f>
        <v>4.2254458313925038</v>
      </c>
      <c r="AA4" s="97">
        <f>AA3-Y4</f>
        <v>402.33455416860755</v>
      </c>
      <c r="AB4" s="97">
        <f>AB3-Y4+IF(MOD(60*HOUR(E4)+MINUTE(E4),MINUTE($C$35))=0,$C$34,0)</f>
        <v>402.33455416860755</v>
      </c>
      <c r="AC4" s="97">
        <f>MAX(V4,W4)/4.184+AC3</f>
        <v>28.722991081802846</v>
      </c>
      <c r="AD4" s="96"/>
      <c r="AE4" s="105">
        <f t="shared" si="9"/>
        <v>4.2254458313925038</v>
      </c>
      <c r="AF4" s="93">
        <v>1.0229166666666702</v>
      </c>
      <c r="AG4" s="93"/>
      <c r="AH4" s="104" t="s">
        <v>220</v>
      </c>
      <c r="AI4" s="103">
        <f>AC1</f>
        <v>6751.2183096858862</v>
      </c>
    </row>
    <row r="5" spans="1:35" x14ac:dyDescent="0.35">
      <c r="A5" s="120" t="s">
        <v>221</v>
      </c>
      <c r="E5" s="100">
        <f t="shared" ref="E5:E62" si="13">E4+TIME(0,1,0)</f>
        <v>1.0020833333333337</v>
      </c>
      <c r="F5" s="5">
        <v>20</v>
      </c>
      <c r="G5" s="5">
        <f t="shared" ref="G5:H68" si="14">G4</f>
        <v>140</v>
      </c>
      <c r="H5" s="106">
        <f t="shared" si="14"/>
        <v>3.8194444444444443E-3</v>
      </c>
      <c r="I5" s="110">
        <f t="shared" si="10"/>
        <v>1.7687499999999998E-2</v>
      </c>
      <c r="J5" s="5">
        <v>1.05</v>
      </c>
      <c r="K5" s="5">
        <v>0</v>
      </c>
      <c r="L5" s="5">
        <v>0</v>
      </c>
      <c r="N5" s="5">
        <f t="shared" si="2"/>
        <v>140</v>
      </c>
      <c r="O5" s="97">
        <f t="shared" si="3"/>
        <v>181.81818181818184</v>
      </c>
      <c r="P5" s="5">
        <f t="shared" si="4"/>
        <v>1</v>
      </c>
      <c r="R5" s="96">
        <f t="shared" si="5"/>
        <v>4.0522445419824962</v>
      </c>
      <c r="S5" s="95">
        <f t="shared" si="6"/>
        <v>0.99929929294508757</v>
      </c>
      <c r="T5" s="96">
        <f t="shared" si="7"/>
        <v>60.099071555555561</v>
      </c>
      <c r="U5" s="97"/>
      <c r="V5" s="97">
        <f t="shared" si="11"/>
        <v>51.574021443413592</v>
      </c>
      <c r="W5" s="96">
        <f t="shared" si="12"/>
        <v>60.056959712122897</v>
      </c>
      <c r="X5" s="96">
        <f t="shared" ref="X5:X68" si="15">MAX(0.7, (0.7+0.3*(G5-$C$16)/($C$17-$C$16)) - 0.3*($C$29-AB4)/$C$29)</f>
        <v>0.88331062143492278</v>
      </c>
      <c r="Y5" s="96">
        <f t="shared" si="8"/>
        <v>2.0850527663487446</v>
      </c>
      <c r="Z5" s="96">
        <f>Z4+Y5</f>
        <v>6.3104985977412484</v>
      </c>
      <c r="AA5" s="97">
        <f>AA4-Y5</f>
        <v>400.24950140225883</v>
      </c>
      <c r="AB5" s="97">
        <f t="shared" ref="AB5:AB68" si="16">AB4-Y5+IF(MOD(60*HOUR(E5)+MINUTE(E5),MINUTE($C$35))=0,$C$34,0)</f>
        <v>400.24950140225883</v>
      </c>
      <c r="AC5" s="97">
        <f t="shared" ref="AC5:AC68" si="17">MAX(V5,W5)/4.184+AC4</f>
        <v>43.07694894798901</v>
      </c>
      <c r="AD5" s="96"/>
      <c r="AE5" s="105">
        <f t="shared" si="9"/>
        <v>6.3104985977412484</v>
      </c>
      <c r="AF5" s="93">
        <v>1.0354166666666722</v>
      </c>
      <c r="AG5" s="93"/>
    </row>
    <row r="6" spans="1:35" x14ac:dyDescent="0.35">
      <c r="A6" s="119" t="s">
        <v>222</v>
      </c>
      <c r="E6" s="100">
        <f t="shared" si="13"/>
        <v>1.0027777777777782</v>
      </c>
      <c r="F6" s="5">
        <v>20</v>
      </c>
      <c r="G6" s="5">
        <f t="shared" si="14"/>
        <v>140</v>
      </c>
      <c r="H6" s="106">
        <f t="shared" si="14"/>
        <v>3.8194444444444443E-3</v>
      </c>
      <c r="I6" s="110">
        <f t="shared" si="10"/>
        <v>1.7687499999999998E-2</v>
      </c>
      <c r="J6" s="5">
        <v>1.05</v>
      </c>
      <c r="K6" s="5">
        <v>0</v>
      </c>
      <c r="L6" s="5">
        <v>0</v>
      </c>
      <c r="N6" s="5">
        <f t="shared" si="2"/>
        <v>140</v>
      </c>
      <c r="O6" s="97">
        <f t="shared" si="3"/>
        <v>181.81818181818184</v>
      </c>
      <c r="P6" s="5">
        <f t="shared" si="4"/>
        <v>1</v>
      </c>
      <c r="R6" s="96">
        <f t="shared" si="5"/>
        <v>4.0522445419824962</v>
      </c>
      <c r="S6" s="95">
        <f t="shared" si="6"/>
        <v>0.99895352796748671</v>
      </c>
      <c r="T6" s="96">
        <f t="shared" si="7"/>
        <v>60.099071555555561</v>
      </c>
      <c r="U6" s="97"/>
      <c r="V6" s="97">
        <f t="shared" si="11"/>
        <v>51.574021443413592</v>
      </c>
      <c r="W6" s="96">
        <f t="shared" si="12"/>
        <v>60.036179557992654</v>
      </c>
      <c r="X6" s="96">
        <f t="shared" si="15"/>
        <v>0.88177206419883314</v>
      </c>
      <c r="Y6" s="96">
        <f t="shared" si="8"/>
        <v>2.0668371751644159</v>
      </c>
      <c r="Z6" s="96">
        <f>Z5+Y6</f>
        <v>8.3773357729056634</v>
      </c>
      <c r="AA6" s="97">
        <f t="shared" ref="AA6:AA68" si="18">AA5-Y6</f>
        <v>398.18266422709439</v>
      </c>
      <c r="AB6" s="97">
        <f t="shared" si="16"/>
        <v>398.18266422709439</v>
      </c>
      <c r="AC6" s="97">
        <f t="shared" si="17"/>
        <v>57.425940238140214</v>
      </c>
      <c r="AD6" s="96"/>
      <c r="AE6" s="105">
        <f t="shared" si="9"/>
        <v>8.3773357729056634</v>
      </c>
      <c r="AF6" s="93">
        <v>1.0500000000000078</v>
      </c>
      <c r="AG6" s="93"/>
    </row>
    <row r="7" spans="1:35" x14ac:dyDescent="0.35">
      <c r="A7" s="121" t="s">
        <v>223</v>
      </c>
      <c r="E7" s="100">
        <f t="shared" si="13"/>
        <v>1.0034722222222228</v>
      </c>
      <c r="F7" s="5">
        <v>20</v>
      </c>
      <c r="G7" s="5">
        <f t="shared" si="14"/>
        <v>140</v>
      </c>
      <c r="H7" s="106">
        <f t="shared" si="14"/>
        <v>3.8194444444444443E-3</v>
      </c>
      <c r="I7" s="110">
        <f t="shared" si="10"/>
        <v>1.7687499999999998E-2</v>
      </c>
      <c r="J7" s="5">
        <v>1.05</v>
      </c>
      <c r="K7" s="5">
        <v>0</v>
      </c>
      <c r="L7" s="5">
        <v>0</v>
      </c>
      <c r="N7" s="5">
        <f t="shared" si="2"/>
        <v>140</v>
      </c>
      <c r="O7" s="97">
        <f t="shared" si="3"/>
        <v>181.81818181818184</v>
      </c>
      <c r="P7" s="5">
        <f t="shared" si="4"/>
        <v>1</v>
      </c>
      <c r="R7" s="96">
        <f t="shared" si="5"/>
        <v>4.0522445419824962</v>
      </c>
      <c r="S7" s="95">
        <f t="shared" si="6"/>
        <v>0.99861078368728962</v>
      </c>
      <c r="T7" s="96">
        <f t="shared" si="7"/>
        <v>60.099071555555561</v>
      </c>
      <c r="U7" s="97"/>
      <c r="V7" s="97">
        <f t="shared" si="11"/>
        <v>51.574021443413592</v>
      </c>
      <c r="W7" s="96">
        <f t="shared" si="12"/>
        <v>60.015580944971838</v>
      </c>
      <c r="X7" s="96">
        <f t="shared" si="15"/>
        <v>0.88024694821952054</v>
      </c>
      <c r="Y7" s="96">
        <f t="shared" si="8"/>
        <v>2.0487926725289367</v>
      </c>
      <c r="Z7" s="96">
        <f t="shared" ref="Z7:Z67" si="19">Z6+Y7</f>
        <v>10.4261284454346</v>
      </c>
      <c r="AA7" s="97">
        <f t="shared" si="18"/>
        <v>396.13387155456547</v>
      </c>
      <c r="AB7" s="97">
        <f t="shared" si="16"/>
        <v>396.13387155456547</v>
      </c>
      <c r="AC7" s="97">
        <f t="shared" si="17"/>
        <v>71.770008341622969</v>
      </c>
      <c r="AD7" s="96"/>
      <c r="AE7" s="105">
        <f t="shared" si="9"/>
        <v>10.4261284454346</v>
      </c>
      <c r="AF7" s="93">
        <v>1.0645833333333434</v>
      </c>
      <c r="AG7" s="93"/>
    </row>
    <row r="8" spans="1:35" x14ac:dyDescent="0.35">
      <c r="E8" s="100">
        <f t="shared" si="13"/>
        <v>1.0041666666666673</v>
      </c>
      <c r="F8" s="5">
        <v>20</v>
      </c>
      <c r="G8" s="5">
        <f t="shared" si="14"/>
        <v>140</v>
      </c>
      <c r="H8" s="106">
        <f t="shared" si="14"/>
        <v>3.8194444444444443E-3</v>
      </c>
      <c r="I8" s="110">
        <f t="shared" si="10"/>
        <v>1.7687499999999998E-2</v>
      </c>
      <c r="J8" s="5">
        <v>1.05</v>
      </c>
      <c r="K8" s="5">
        <v>0</v>
      </c>
      <c r="L8" s="5">
        <v>0</v>
      </c>
      <c r="N8" s="5">
        <f t="shared" si="2"/>
        <v>140</v>
      </c>
      <c r="O8" s="97">
        <f t="shared" si="3"/>
        <v>181.81818181818184</v>
      </c>
      <c r="P8" s="5">
        <f t="shared" si="4"/>
        <v>1</v>
      </c>
      <c r="R8" s="96">
        <f t="shared" si="5"/>
        <v>4.0522445419824962</v>
      </c>
      <c r="S8" s="95">
        <f t="shared" si="6"/>
        <v>0.99827103173282639</v>
      </c>
      <c r="T8" s="96">
        <f t="shared" si="7"/>
        <v>60.099071555555561</v>
      </c>
      <c r="U8" s="97"/>
      <c r="V8" s="97">
        <f t="shared" si="11"/>
        <v>51.574021443413592</v>
      </c>
      <c r="W8" s="96">
        <f t="shared" si="12"/>
        <v>59.99516216794941</v>
      </c>
      <c r="X8" s="96">
        <f t="shared" si="15"/>
        <v>0.87873514725100743</v>
      </c>
      <c r="Y8" s="96">
        <f t="shared" si="8"/>
        <v>2.0309174515978241</v>
      </c>
      <c r="Z8" s="96">
        <f t="shared" si="19"/>
        <v>12.457045897032424</v>
      </c>
      <c r="AA8" s="97">
        <f t="shared" si="18"/>
        <v>394.10295410296766</v>
      </c>
      <c r="AB8" s="97">
        <f t="shared" si="16"/>
        <v>394.10295410296766</v>
      </c>
      <c r="AC8" s="97">
        <f t="shared" si="17"/>
        <v>86.109196240272439</v>
      </c>
      <c r="AD8" s="96"/>
      <c r="AE8" s="105">
        <f t="shared" si="9"/>
        <v>12.457045897032424</v>
      </c>
      <c r="AF8" s="93">
        <v>1.0819444444444573</v>
      </c>
      <c r="AG8" s="93"/>
    </row>
    <row r="9" spans="1:35" x14ac:dyDescent="0.35">
      <c r="A9" s="52" t="s">
        <v>0</v>
      </c>
      <c r="B9" s="48"/>
      <c r="C9" s="36"/>
      <c r="E9" s="100">
        <f t="shared" si="13"/>
        <v>1.0048611111111119</v>
      </c>
      <c r="F9" s="5">
        <v>20</v>
      </c>
      <c r="G9" s="5">
        <f t="shared" si="14"/>
        <v>140</v>
      </c>
      <c r="H9" s="106">
        <f t="shared" si="14"/>
        <v>3.8194444444444443E-3</v>
      </c>
      <c r="I9" s="110">
        <f t="shared" si="10"/>
        <v>1.7687499999999998E-2</v>
      </c>
      <c r="J9" s="5">
        <v>1.05</v>
      </c>
      <c r="K9" s="5">
        <v>0</v>
      </c>
      <c r="L9" s="5">
        <v>0</v>
      </c>
      <c r="N9" s="5">
        <f t="shared" si="2"/>
        <v>140</v>
      </c>
      <c r="O9" s="97">
        <f t="shared" si="3"/>
        <v>181.81818181818184</v>
      </c>
      <c r="P9" s="5">
        <f t="shared" si="4"/>
        <v>1</v>
      </c>
      <c r="R9" s="96">
        <f t="shared" si="5"/>
        <v>4.0522445419824962</v>
      </c>
      <c r="S9" s="95">
        <f t="shared" si="6"/>
        <v>0.99793424403205711</v>
      </c>
      <c r="T9" s="96">
        <f t="shared" si="7"/>
        <v>60.099071555555561</v>
      </c>
      <c r="U9" s="97"/>
      <c r="V9" s="97">
        <f t="shared" si="11"/>
        <v>51.574021443413592</v>
      </c>
      <c r="W9" s="96">
        <f t="shared" si="12"/>
        <v>59.974921539821842</v>
      </c>
      <c r="X9" s="96">
        <f t="shared" si="15"/>
        <v>0.87723653638058408</v>
      </c>
      <c r="Y9" s="96">
        <f t="shared" si="8"/>
        <v>2.0132097279195666</v>
      </c>
      <c r="Z9" s="96">
        <f t="shared" si="19"/>
        <v>14.47025562495199</v>
      </c>
      <c r="AA9" s="97">
        <f t="shared" si="18"/>
        <v>392.0897443750481</v>
      </c>
      <c r="AB9" s="97">
        <f t="shared" si="16"/>
        <v>392.0897443750481</v>
      </c>
      <c r="AC9" s="97">
        <f t="shared" si="17"/>
        <v>100.4435465126964</v>
      </c>
      <c r="AD9" s="96"/>
      <c r="AE9" s="105">
        <f t="shared" si="9"/>
        <v>14.47025562495199</v>
      </c>
      <c r="AF9" s="93">
        <v>1.0993055555555711</v>
      </c>
      <c r="AG9" s="93"/>
    </row>
    <row r="10" spans="1:35" x14ac:dyDescent="0.35">
      <c r="A10" s="53" t="s">
        <v>3</v>
      </c>
      <c r="B10" s="49"/>
      <c r="C10" s="37"/>
      <c r="E10" s="100">
        <f t="shared" si="13"/>
        <v>1.0055555555555564</v>
      </c>
      <c r="F10" s="5">
        <v>20</v>
      </c>
      <c r="G10" s="5">
        <f t="shared" si="14"/>
        <v>140</v>
      </c>
      <c r="H10" s="106">
        <f t="shared" si="14"/>
        <v>3.8194444444444443E-3</v>
      </c>
      <c r="I10" s="110">
        <f t="shared" si="10"/>
        <v>1.7687499999999998E-2</v>
      </c>
      <c r="J10" s="5">
        <v>1.05</v>
      </c>
      <c r="K10" s="5">
        <v>0</v>
      </c>
      <c r="L10" s="5">
        <v>0</v>
      </c>
      <c r="N10" s="5">
        <f t="shared" si="2"/>
        <v>140</v>
      </c>
      <c r="O10" s="97">
        <f t="shared" si="3"/>
        <v>181.81818181818184</v>
      </c>
      <c r="P10" s="5">
        <f t="shared" si="4"/>
        <v>1</v>
      </c>
      <c r="R10" s="96">
        <f t="shared" si="5"/>
        <v>4.0522445419824962</v>
      </c>
      <c r="S10" s="95">
        <f t="shared" si="6"/>
        <v>0.99760039280885815</v>
      </c>
      <c r="T10" s="96">
        <f t="shared" si="7"/>
        <v>60.099071555555561</v>
      </c>
      <c r="U10" s="97"/>
      <c r="V10" s="97">
        <f t="shared" si="11"/>
        <v>51.574021443413592</v>
      </c>
      <c r="W10" s="96">
        <f t="shared" si="12"/>
        <v>59.954857391269904</v>
      </c>
      <c r="X10" s="96">
        <f t="shared" si="15"/>
        <v>0.87575099201228446</v>
      </c>
      <c r="Y10" s="96">
        <f t="shared" si="8"/>
        <v>1.9956677391043054</v>
      </c>
      <c r="Z10" s="96">
        <f t="shared" si="19"/>
        <v>16.465923364056295</v>
      </c>
      <c r="AA10" s="97">
        <f t="shared" si="18"/>
        <v>390.09407663594379</v>
      </c>
      <c r="AB10" s="97">
        <f t="shared" si="16"/>
        <v>390.09407663594379</v>
      </c>
      <c r="AC10" s="97">
        <f t="shared" si="17"/>
        <v>114.77310133852572</v>
      </c>
      <c r="AD10" s="96"/>
      <c r="AE10" s="105">
        <f t="shared" si="9"/>
        <v>16.465923364056295</v>
      </c>
      <c r="AF10" s="93">
        <v>1.1187500000000186</v>
      </c>
      <c r="AG10" s="93"/>
    </row>
    <row r="11" spans="1:35" x14ac:dyDescent="0.35">
      <c r="A11" s="54" t="s">
        <v>6</v>
      </c>
      <c r="B11" s="50" t="s">
        <v>7</v>
      </c>
      <c r="C11" s="38" t="s">
        <v>8</v>
      </c>
      <c r="E11" s="100">
        <f t="shared" si="13"/>
        <v>1.006250000000001</v>
      </c>
      <c r="F11" s="5">
        <v>20</v>
      </c>
      <c r="G11" s="5">
        <f t="shared" si="14"/>
        <v>140</v>
      </c>
      <c r="H11" s="106">
        <f t="shared" si="14"/>
        <v>3.8194444444444443E-3</v>
      </c>
      <c r="I11" s="110">
        <f t="shared" si="10"/>
        <v>1.7687499999999998E-2</v>
      </c>
      <c r="J11" s="5">
        <v>1.05</v>
      </c>
      <c r="K11" s="5">
        <v>0</v>
      </c>
      <c r="L11" s="5">
        <v>0</v>
      </c>
      <c r="N11" s="5">
        <f t="shared" si="2"/>
        <v>140</v>
      </c>
      <c r="O11" s="97">
        <f t="shared" si="3"/>
        <v>181.81818181818184</v>
      </c>
      <c r="P11" s="5">
        <f t="shared" si="4"/>
        <v>1</v>
      </c>
      <c r="R11" s="96">
        <f t="shared" si="5"/>
        <v>4.0522445419824962</v>
      </c>
      <c r="S11" s="95">
        <f t="shared" si="6"/>
        <v>0.99726945057936323</v>
      </c>
      <c r="T11" s="96">
        <f t="shared" si="7"/>
        <v>60.099071555555561</v>
      </c>
      <c r="U11" s="97"/>
      <c r="V11" s="97">
        <f t="shared" si="11"/>
        <v>51.574021443413592</v>
      </c>
      <c r="W11" s="96">
        <f t="shared" si="12"/>
        <v>59.93496807053873</v>
      </c>
      <c r="X11" s="96">
        <f t="shared" si="15"/>
        <v>0.87427839185060774</v>
      </c>
      <c r="Y11" s="96">
        <f t="shared" si="8"/>
        <v>1.9782897444982979</v>
      </c>
      <c r="Z11" s="96">
        <f t="shared" si="19"/>
        <v>18.444213108554592</v>
      </c>
      <c r="AA11" s="97">
        <f t="shared" si="18"/>
        <v>388.11578689144551</v>
      </c>
      <c r="AB11" s="97">
        <f t="shared" si="16"/>
        <v>388.11578689144551</v>
      </c>
      <c r="AC11" s="97">
        <f t="shared" si="17"/>
        <v>129.09790250261241</v>
      </c>
      <c r="AD11" s="96"/>
      <c r="AE11" s="105">
        <f t="shared" si="9"/>
        <v>18.444213108554592</v>
      </c>
      <c r="AF11" s="93">
        <v>1.1402777777777997</v>
      </c>
      <c r="AG11" s="93"/>
    </row>
    <row r="12" spans="1:35" x14ac:dyDescent="0.35">
      <c r="A12" s="55" t="s">
        <v>14</v>
      </c>
      <c r="B12" s="5" t="s">
        <v>15</v>
      </c>
      <c r="C12" s="112">
        <v>1</v>
      </c>
      <c r="E12" s="100">
        <f t="shared" si="13"/>
        <v>1.0069444444444455</v>
      </c>
      <c r="F12" s="5">
        <v>20</v>
      </c>
      <c r="G12" s="5">
        <f t="shared" si="14"/>
        <v>140</v>
      </c>
      <c r="H12" s="106">
        <f t="shared" si="14"/>
        <v>3.8194444444444443E-3</v>
      </c>
      <c r="I12" s="110">
        <f t="shared" si="10"/>
        <v>1.7687499999999998E-2</v>
      </c>
      <c r="J12" s="5">
        <v>1.05</v>
      </c>
      <c r="K12" s="5">
        <v>0</v>
      </c>
      <c r="L12" s="5">
        <v>0</v>
      </c>
      <c r="N12" s="5">
        <f t="shared" si="2"/>
        <v>140</v>
      </c>
      <c r="O12" s="97">
        <f t="shared" si="3"/>
        <v>181.81818181818184</v>
      </c>
      <c r="P12" s="5">
        <f t="shared" si="4"/>
        <v>1</v>
      </c>
      <c r="R12" s="96">
        <f t="shared" si="5"/>
        <v>4.0522445419824962</v>
      </c>
      <c r="S12" s="95">
        <f t="shared" si="6"/>
        <v>0.99694139014835925</v>
      </c>
      <c r="T12" s="96">
        <f t="shared" si="7"/>
        <v>60.099071555555561</v>
      </c>
      <c r="U12" s="97"/>
      <c r="V12" s="97">
        <f t="shared" si="11"/>
        <v>51.574021443413592</v>
      </c>
      <c r="W12" s="96">
        <f t="shared" si="12"/>
        <v>59.915251943221278</v>
      </c>
      <c r="X12" s="96">
        <f t="shared" si="15"/>
        <v>0.87281861488447854</v>
      </c>
      <c r="Y12" s="96">
        <f t="shared" si="8"/>
        <v>1.9610740248640273</v>
      </c>
      <c r="Z12" s="96">
        <f t="shared" si="19"/>
        <v>20.405287133418618</v>
      </c>
      <c r="AA12" s="97">
        <f t="shared" si="18"/>
        <v>386.15471286658146</v>
      </c>
      <c r="AB12" s="97">
        <f t="shared" si="16"/>
        <v>386.15471286658146</v>
      </c>
      <c r="AC12" s="97">
        <f t="shared" si="17"/>
        <v>143.4179913991758</v>
      </c>
      <c r="AD12" s="96"/>
      <c r="AE12" s="105">
        <f t="shared" si="9"/>
        <v>20.405287133418618</v>
      </c>
      <c r="AF12" s="93">
        <v>1.1618055555555808</v>
      </c>
      <c r="AG12" s="93"/>
    </row>
    <row r="13" spans="1:35" x14ac:dyDescent="0.35">
      <c r="A13" s="55" t="s">
        <v>20</v>
      </c>
      <c r="B13" s="5" t="s">
        <v>21</v>
      </c>
      <c r="C13" s="112">
        <v>26</v>
      </c>
      <c r="E13" s="100">
        <f t="shared" si="13"/>
        <v>1.0076388888888901</v>
      </c>
      <c r="F13" s="5">
        <v>20</v>
      </c>
      <c r="G13" s="5">
        <f t="shared" si="14"/>
        <v>140</v>
      </c>
      <c r="H13" s="106">
        <f t="shared" si="14"/>
        <v>3.8194444444444443E-3</v>
      </c>
      <c r="I13" s="110">
        <f t="shared" si="10"/>
        <v>1.7687499999999998E-2</v>
      </c>
      <c r="J13" s="5">
        <v>1.05</v>
      </c>
      <c r="K13" s="5">
        <v>0</v>
      </c>
      <c r="L13" s="5">
        <v>0</v>
      </c>
      <c r="N13" s="5">
        <f t="shared" si="2"/>
        <v>140</v>
      </c>
      <c r="O13" s="97">
        <f t="shared" si="3"/>
        <v>181.81818181818184</v>
      </c>
      <c r="P13" s="5">
        <f t="shared" si="4"/>
        <v>1</v>
      </c>
      <c r="R13" s="96">
        <f t="shared" si="5"/>
        <v>4.0522445419824962</v>
      </c>
      <c r="S13" s="95">
        <f t="shared" si="6"/>
        <v>0.99661618460573498</v>
      </c>
      <c r="T13" s="96">
        <f t="shared" si="7"/>
        <v>60.099071555555561</v>
      </c>
      <c r="U13" s="97"/>
      <c r="V13" s="97">
        <f t="shared" si="11"/>
        <v>51.574021443413592</v>
      </c>
      <c r="W13" s="96">
        <f t="shared" si="12"/>
        <v>59.895707392044834</v>
      </c>
      <c r="X13" s="96">
        <f t="shared" si="15"/>
        <v>0.87137154137144424</v>
      </c>
      <c r="Y13" s="96">
        <f t="shared" si="8"/>
        <v>1.9440188820658582</v>
      </c>
      <c r="Z13" s="96">
        <f t="shared" si="19"/>
        <v>22.349306015484476</v>
      </c>
      <c r="AA13" s="97">
        <f t="shared" si="18"/>
        <v>384.21069398451561</v>
      </c>
      <c r="AB13" s="97">
        <f t="shared" si="16"/>
        <v>384.21069398451561</v>
      </c>
      <c r="AC13" s="97">
        <f t="shared" si="17"/>
        <v>157.73340903589781</v>
      </c>
      <c r="AD13" s="96"/>
      <c r="AE13" s="105">
        <f t="shared" si="9"/>
        <v>22.349306015484476</v>
      </c>
      <c r="AF13" s="93">
        <v>1.1847222222222511</v>
      </c>
      <c r="AG13" s="93"/>
    </row>
    <row r="14" spans="1:35" x14ac:dyDescent="0.35">
      <c r="A14" s="55" t="s">
        <v>22</v>
      </c>
      <c r="B14" s="5" t="s">
        <v>23</v>
      </c>
      <c r="C14" s="113">
        <v>70</v>
      </c>
      <c r="E14" s="100">
        <f t="shared" si="13"/>
        <v>1.0083333333333346</v>
      </c>
      <c r="F14" s="5">
        <v>20</v>
      </c>
      <c r="G14" s="5">
        <f t="shared" si="14"/>
        <v>140</v>
      </c>
      <c r="H14" s="106">
        <f t="shared" si="14"/>
        <v>3.8194444444444443E-3</v>
      </c>
      <c r="I14" s="110">
        <f t="shared" si="10"/>
        <v>1.7687499999999998E-2</v>
      </c>
      <c r="J14" s="5">
        <v>1.05</v>
      </c>
      <c r="K14" s="5">
        <v>0</v>
      </c>
      <c r="L14" s="5">
        <v>0</v>
      </c>
      <c r="N14" s="5">
        <f t="shared" si="2"/>
        <v>140</v>
      </c>
      <c r="O14" s="97">
        <f t="shared" si="3"/>
        <v>181.81818181818184</v>
      </c>
      <c r="P14" s="5">
        <f t="shared" si="4"/>
        <v>1</v>
      </c>
      <c r="R14" s="96">
        <f t="shared" si="5"/>
        <v>4.0522445419824962</v>
      </c>
      <c r="S14" s="95">
        <f t="shared" si="6"/>
        <v>0.99629380732298134</v>
      </c>
      <c r="T14" s="96">
        <f t="shared" si="7"/>
        <v>60.099071555555561</v>
      </c>
      <c r="U14" s="97"/>
      <c r="V14" s="97">
        <f t="shared" si="11"/>
        <v>51.574021443413592</v>
      </c>
      <c r="W14" s="96">
        <f t="shared" si="12"/>
        <v>59.876332816660742</v>
      </c>
      <c r="X14" s="96">
        <f t="shared" si="15"/>
        <v>0.8699370528221041</v>
      </c>
      <c r="Y14" s="96">
        <f t="shared" si="8"/>
        <v>1.9271226387611295</v>
      </c>
      <c r="Z14" s="96">
        <f t="shared" si="19"/>
        <v>24.276428654245606</v>
      </c>
      <c r="AA14" s="97">
        <f t="shared" si="18"/>
        <v>382.28357134575447</v>
      </c>
      <c r="AB14" s="97">
        <f t="shared" si="16"/>
        <v>382.28357134575447</v>
      </c>
      <c r="AC14" s="97">
        <f t="shared" si="17"/>
        <v>172.04419603796777</v>
      </c>
      <c r="AD14" s="96"/>
      <c r="AE14" s="105">
        <f t="shared" si="9"/>
        <v>24.276428654245606</v>
      </c>
      <c r="AF14" s="93">
        <v>1.2083333333333659</v>
      </c>
      <c r="AG14" s="93"/>
    </row>
    <row r="15" spans="1:35" x14ac:dyDescent="0.35">
      <c r="A15" s="55" t="s">
        <v>27</v>
      </c>
      <c r="B15" s="5" t="s">
        <v>28</v>
      </c>
      <c r="C15" s="114">
        <v>1.8</v>
      </c>
      <c r="E15" s="100">
        <f t="shared" si="13"/>
        <v>1.0090277777777792</v>
      </c>
      <c r="F15" s="5">
        <v>20</v>
      </c>
      <c r="G15" s="5">
        <f t="shared" si="14"/>
        <v>140</v>
      </c>
      <c r="H15" s="106">
        <f t="shared" si="14"/>
        <v>3.8194444444444443E-3</v>
      </c>
      <c r="I15" s="110">
        <f t="shared" si="10"/>
        <v>1.7687499999999998E-2</v>
      </c>
      <c r="J15" s="5">
        <v>1.05</v>
      </c>
      <c r="K15" s="5">
        <v>0</v>
      </c>
      <c r="L15" s="5">
        <v>0</v>
      </c>
      <c r="N15" s="5">
        <f t="shared" si="2"/>
        <v>140</v>
      </c>
      <c r="O15" s="97">
        <f t="shared" si="3"/>
        <v>181.81818181818184</v>
      </c>
      <c r="P15" s="5">
        <f t="shared" si="4"/>
        <v>1</v>
      </c>
      <c r="R15" s="96">
        <f t="shared" si="5"/>
        <v>4.0522445419824962</v>
      </c>
      <c r="S15" s="95">
        <f t="shared" si="6"/>
        <v>0.99597423194974399</v>
      </c>
      <c r="T15" s="96">
        <f t="shared" si="7"/>
        <v>60.099071555555561</v>
      </c>
      <c r="U15" s="97"/>
      <c r="V15" s="97">
        <f t="shared" si="11"/>
        <v>51.574021443413592</v>
      </c>
      <c r="W15" s="96">
        <f t="shared" si="12"/>
        <v>59.857126633437154</v>
      </c>
      <c r="X15" s="96">
        <f t="shared" si="15"/>
        <v>0.86851503198476554</v>
      </c>
      <c r="Y15" s="96">
        <f t="shared" si="8"/>
        <v>1.9103836380965582</v>
      </c>
      <c r="Z15" s="96">
        <f t="shared" si="19"/>
        <v>26.186812292342164</v>
      </c>
      <c r="AA15" s="97">
        <f t="shared" si="18"/>
        <v>380.37318770765791</v>
      </c>
      <c r="AB15" s="97">
        <f t="shared" si="16"/>
        <v>380.37318770765791</v>
      </c>
      <c r="AC15" s="97">
        <f t="shared" si="17"/>
        <v>186.35039265207797</v>
      </c>
      <c r="AD15" s="96"/>
      <c r="AE15" s="105">
        <f t="shared" si="9"/>
        <v>26.186812292342164</v>
      </c>
      <c r="AF15" s="93">
        <v>1.2333333333333698</v>
      </c>
      <c r="AG15" s="93"/>
    </row>
    <row r="16" spans="1:35" x14ac:dyDescent="0.35">
      <c r="A16" s="55" t="s">
        <v>32</v>
      </c>
      <c r="B16" s="5" t="s">
        <v>33</v>
      </c>
      <c r="C16" s="112">
        <v>53</v>
      </c>
      <c r="E16" s="100">
        <f t="shared" si="13"/>
        <v>1.0097222222222237</v>
      </c>
      <c r="F16" s="5">
        <v>20</v>
      </c>
      <c r="G16" s="5">
        <f t="shared" si="14"/>
        <v>140</v>
      </c>
      <c r="H16" s="106">
        <f t="shared" si="14"/>
        <v>3.8194444444444443E-3</v>
      </c>
      <c r="I16" s="110">
        <f t="shared" si="10"/>
        <v>1.7687499999999998E-2</v>
      </c>
      <c r="J16" s="5">
        <v>1.05</v>
      </c>
      <c r="K16" s="5">
        <v>0</v>
      </c>
      <c r="L16" s="5">
        <v>0</v>
      </c>
      <c r="N16" s="5">
        <f t="shared" si="2"/>
        <v>140</v>
      </c>
      <c r="O16" s="97">
        <f t="shared" si="3"/>
        <v>181.81818181818184</v>
      </c>
      <c r="P16" s="5">
        <f t="shared" si="4"/>
        <v>1</v>
      </c>
      <c r="R16" s="96">
        <f t="shared" si="5"/>
        <v>4.0522445419824962</v>
      </c>
      <c r="S16" s="95">
        <f t="shared" si="6"/>
        <v>0.99565743241042493</v>
      </c>
      <c r="T16" s="96">
        <f t="shared" si="7"/>
        <v>60.099071555555561</v>
      </c>
      <c r="U16" s="97"/>
      <c r="V16" s="97">
        <f t="shared" si="11"/>
        <v>51.574021443413592</v>
      </c>
      <c r="W16" s="96">
        <f t="shared" si="12"/>
        <v>59.83808727525485</v>
      </c>
      <c r="X16" s="96">
        <f t="shared" si="15"/>
        <v>0.86710536283032591</v>
      </c>
      <c r="Y16" s="96">
        <f t="shared" si="8"/>
        <v>1.8938002434098813</v>
      </c>
      <c r="Z16" s="96">
        <f t="shared" si="19"/>
        <v>28.080612535752046</v>
      </c>
      <c r="AA16" s="97">
        <f t="shared" si="18"/>
        <v>378.47938746424802</v>
      </c>
      <c r="AB16" s="97">
        <f t="shared" si="16"/>
        <v>378.47938746424802</v>
      </c>
      <c r="AC16" s="97">
        <f t="shared" si="17"/>
        <v>200.65203875037025</v>
      </c>
      <c r="AD16" s="96"/>
      <c r="AE16" s="105">
        <f t="shared" si="9"/>
        <v>28.080612535752046</v>
      </c>
      <c r="AF16" s="93">
        <v>1.2597222222222628</v>
      </c>
      <c r="AG16" s="93"/>
    </row>
    <row r="17" spans="1:33" x14ac:dyDescent="0.35">
      <c r="A17" s="55" t="s">
        <v>37</v>
      </c>
      <c r="B17" s="5" t="s">
        <v>33</v>
      </c>
      <c r="C17" s="112">
        <v>193</v>
      </c>
      <c r="E17" s="100">
        <f t="shared" si="13"/>
        <v>1.0104166666666683</v>
      </c>
      <c r="F17" s="5">
        <v>20</v>
      </c>
      <c r="G17" s="5">
        <f t="shared" si="14"/>
        <v>140</v>
      </c>
      <c r="H17" s="106">
        <f t="shared" si="14"/>
        <v>3.8194444444444443E-3</v>
      </c>
      <c r="I17" s="110">
        <f t="shared" si="10"/>
        <v>1.7687499999999998E-2</v>
      </c>
      <c r="J17" s="5">
        <v>1.05</v>
      </c>
      <c r="K17" s="5">
        <v>0</v>
      </c>
      <c r="L17" s="5">
        <v>0</v>
      </c>
      <c r="N17" s="5">
        <f t="shared" si="2"/>
        <v>140</v>
      </c>
      <c r="O17" s="97">
        <f t="shared" si="3"/>
        <v>181.81818181818184</v>
      </c>
      <c r="P17" s="5">
        <f t="shared" si="4"/>
        <v>1</v>
      </c>
      <c r="R17" s="96">
        <f t="shared" si="5"/>
        <v>4.0522445419824962</v>
      </c>
      <c r="S17" s="95">
        <f t="shared" si="6"/>
        <v>0.99534338290083391</v>
      </c>
      <c r="T17" s="96">
        <f t="shared" si="7"/>
        <v>60.099071555555561</v>
      </c>
      <c r="U17" s="97"/>
      <c r="V17" s="97">
        <f t="shared" si="11"/>
        <v>51.574021443413592</v>
      </c>
      <c r="W17" s="96">
        <f t="shared" si="12"/>
        <v>59.819213191305955</v>
      </c>
      <c r="X17" s="96">
        <f t="shared" si="15"/>
        <v>0.86570793053737294</v>
      </c>
      <c r="Y17" s="96">
        <f t="shared" si="8"/>
        <v>1.8773708379365974</v>
      </c>
      <c r="Z17" s="96">
        <f t="shared" si="19"/>
        <v>29.957983373688641</v>
      </c>
      <c r="AA17" s="97">
        <f t="shared" si="18"/>
        <v>376.60201662631141</v>
      </c>
      <c r="AB17" s="97">
        <f t="shared" si="16"/>
        <v>376.60201662631141</v>
      </c>
      <c r="AC17" s="97">
        <f t="shared" si="17"/>
        <v>214.9491738343344</v>
      </c>
      <c r="AD17" s="96"/>
      <c r="AE17" s="105">
        <f t="shared" si="9"/>
        <v>29.957983373688641</v>
      </c>
      <c r="AF17" s="93">
        <v>1.2854166666667113</v>
      </c>
      <c r="AG17" s="93"/>
    </row>
    <row r="18" spans="1:33" x14ac:dyDescent="0.35">
      <c r="A18" s="55" t="s">
        <v>41</v>
      </c>
      <c r="B18" s="5" t="s">
        <v>42</v>
      </c>
      <c r="C18" s="114">
        <v>0.12</v>
      </c>
      <c r="E18" s="100">
        <f t="shared" si="13"/>
        <v>1.0111111111111128</v>
      </c>
      <c r="F18" s="5">
        <v>20</v>
      </c>
      <c r="G18" s="5">
        <f t="shared" si="14"/>
        <v>140</v>
      </c>
      <c r="H18" s="106">
        <f t="shared" si="14"/>
        <v>3.8194444444444443E-3</v>
      </c>
      <c r="I18" s="110">
        <f t="shared" si="10"/>
        <v>1.7687499999999998E-2</v>
      </c>
      <c r="J18" s="5">
        <v>1.05</v>
      </c>
      <c r="K18" s="5">
        <v>0</v>
      </c>
      <c r="L18" s="5">
        <v>0</v>
      </c>
      <c r="N18" s="5">
        <f t="shared" si="2"/>
        <v>140</v>
      </c>
      <c r="O18" s="97">
        <f t="shared" si="3"/>
        <v>181.81818181818184</v>
      </c>
      <c r="P18" s="5">
        <f t="shared" si="4"/>
        <v>1</v>
      </c>
      <c r="R18" s="96">
        <f t="shared" si="5"/>
        <v>4.0522445419824962</v>
      </c>
      <c r="S18" s="95">
        <f t="shared" si="6"/>
        <v>0.9950320578848898</v>
      </c>
      <c r="T18" s="96">
        <f t="shared" si="7"/>
        <v>60.099071555555561</v>
      </c>
      <c r="U18" s="97"/>
      <c r="V18" s="97">
        <f t="shared" si="11"/>
        <v>51.574021443413592</v>
      </c>
      <c r="W18" s="96">
        <f t="shared" si="12"/>
        <v>59.800502846895697</v>
      </c>
      <c r="X18" s="96">
        <f t="shared" si="15"/>
        <v>0.86432262147750238</v>
      </c>
      <c r="Y18" s="96">
        <f t="shared" si="8"/>
        <v>1.8610938245217328</v>
      </c>
      <c r="Z18" s="96">
        <f t="shared" si="19"/>
        <v>31.819077198210373</v>
      </c>
      <c r="AA18" s="97">
        <f t="shared" si="18"/>
        <v>374.74092280178968</v>
      </c>
      <c r="AB18" s="97">
        <f t="shared" si="16"/>
        <v>374.74092280178968</v>
      </c>
      <c r="AC18" s="97">
        <f t="shared" si="17"/>
        <v>229.24183703865938</v>
      </c>
      <c r="AD18" s="96"/>
      <c r="AE18" s="105">
        <f t="shared" si="9"/>
        <v>1.8190771982103726</v>
      </c>
      <c r="AF18" s="93">
        <v>1.3125000000000488</v>
      </c>
      <c r="AG18" s="93"/>
    </row>
    <row r="19" spans="1:33" x14ac:dyDescent="0.35">
      <c r="A19" s="55" t="s">
        <v>51</v>
      </c>
      <c r="B19" s="5" t="s">
        <v>52</v>
      </c>
      <c r="C19" s="112">
        <v>60</v>
      </c>
      <c r="E19" s="100">
        <f t="shared" si="13"/>
        <v>1.0118055555555574</v>
      </c>
      <c r="F19" s="5">
        <v>20</v>
      </c>
      <c r="G19" s="5">
        <f t="shared" si="14"/>
        <v>140</v>
      </c>
      <c r="H19" s="106">
        <f t="shared" si="14"/>
        <v>3.8194444444444443E-3</v>
      </c>
      <c r="I19" s="110">
        <f t="shared" si="10"/>
        <v>1.7687499999999998E-2</v>
      </c>
      <c r="J19" s="5">
        <v>1.05</v>
      </c>
      <c r="K19" s="5">
        <v>0</v>
      </c>
      <c r="L19" s="5">
        <v>0</v>
      </c>
      <c r="N19" s="5">
        <f t="shared" si="2"/>
        <v>140</v>
      </c>
      <c r="O19" s="97">
        <f t="shared" si="3"/>
        <v>181.81818181818184</v>
      </c>
      <c r="P19" s="5">
        <f t="shared" si="4"/>
        <v>1</v>
      </c>
      <c r="R19" s="96">
        <f t="shared" si="5"/>
        <v>4.0522445419824962</v>
      </c>
      <c r="S19" s="95">
        <f t="shared" si="6"/>
        <v>0.99472343209136815</v>
      </c>
      <c r="T19" s="96">
        <f t="shared" si="7"/>
        <v>60.099071555555561</v>
      </c>
      <c r="U19" s="97"/>
      <c r="V19" s="97">
        <f t="shared" si="11"/>
        <v>51.574021443413592</v>
      </c>
      <c r="W19" s="96">
        <f t="shared" si="12"/>
        <v>59.781954723246947</v>
      </c>
      <c r="X19" s="96">
        <f t="shared" si="15"/>
        <v>0.86294932320084827</v>
      </c>
      <c r="Y19" s="96">
        <f t="shared" si="8"/>
        <v>1.8449676253365239</v>
      </c>
      <c r="Z19" s="96">
        <f t="shared" si="19"/>
        <v>33.664044823546895</v>
      </c>
      <c r="AA19" s="97">
        <f t="shared" si="18"/>
        <v>372.89595517645313</v>
      </c>
      <c r="AB19" s="97">
        <f t="shared" si="16"/>
        <v>372.89595517645313</v>
      </c>
      <c r="AC19" s="97">
        <f t="shared" si="17"/>
        <v>243.53006713503771</v>
      </c>
      <c r="AD19" s="96"/>
      <c r="AE19" s="105">
        <f t="shared" si="9"/>
        <v>3.6640448235468952</v>
      </c>
      <c r="AF19" s="93"/>
      <c r="AG19" s="93"/>
    </row>
    <row r="20" spans="1:33" x14ac:dyDescent="0.35">
      <c r="A20" s="56" t="s">
        <v>224</v>
      </c>
      <c r="B20" s="29" t="s">
        <v>15</v>
      </c>
      <c r="C20" s="115">
        <v>1</v>
      </c>
      <c r="E20" s="100">
        <f>E19+TIME(0,1,0)</f>
        <v>1.012500000000002</v>
      </c>
      <c r="F20" s="5">
        <v>20</v>
      </c>
      <c r="G20" s="5">
        <f>G19</f>
        <v>140</v>
      </c>
      <c r="H20" s="106">
        <f t="shared" ref="H20:H83" si="20">H19</f>
        <v>3.8194444444444443E-3</v>
      </c>
      <c r="I20" s="110">
        <f t="shared" si="10"/>
        <v>1.7687499999999998E-2</v>
      </c>
      <c r="J20" s="5">
        <v>1.05</v>
      </c>
      <c r="K20" s="5">
        <v>0</v>
      </c>
      <c r="L20" s="5">
        <v>0</v>
      </c>
      <c r="N20" s="5">
        <f t="shared" si="2"/>
        <v>140</v>
      </c>
      <c r="O20" s="97">
        <f t="shared" si="3"/>
        <v>181.81818181818184</v>
      </c>
      <c r="P20" s="5">
        <f t="shared" si="4"/>
        <v>1</v>
      </c>
      <c r="R20" s="96">
        <f t="shared" si="5"/>
        <v>4.0522445419824962</v>
      </c>
      <c r="S20" s="95">
        <f t="shared" si="6"/>
        <v>0.99441748051069634</v>
      </c>
      <c r="T20" s="96">
        <f t="shared" si="7"/>
        <v>60.099071555555561</v>
      </c>
      <c r="U20" s="97"/>
      <c r="V20" s="97">
        <f t="shared" si="11"/>
        <v>51.574021443413592</v>
      </c>
      <c r="W20" s="96">
        <f t="shared" si="12"/>
        <v>59.763567317307619</v>
      </c>
      <c r="X20" s="96">
        <f t="shared" si="15"/>
        <v>0.86158792442182186</v>
      </c>
      <c r="Y20" s="96">
        <f t="shared" si="8"/>
        <v>1.8289906815999182</v>
      </c>
      <c r="Z20" s="96">
        <f>Z19+Y20</f>
        <v>35.493035505146814</v>
      </c>
      <c r="AA20" s="97">
        <f t="shared" si="18"/>
        <v>371.06696449485321</v>
      </c>
      <c r="AB20" s="97">
        <f t="shared" si="16"/>
        <v>371.06696449485321</v>
      </c>
      <c r="AC20" s="97">
        <f t="shared" si="17"/>
        <v>257.81390253592383</v>
      </c>
      <c r="AD20" s="96"/>
      <c r="AE20" s="105">
        <f t="shared" si="9"/>
        <v>5.493035505146814</v>
      </c>
      <c r="AF20" s="93"/>
      <c r="AG20" s="93"/>
    </row>
    <row r="21" spans="1:33" x14ac:dyDescent="0.35">
      <c r="E21" s="100">
        <f t="shared" si="13"/>
        <v>1.0131944444444465</v>
      </c>
      <c r="F21" s="5">
        <v>20</v>
      </c>
      <c r="G21" s="5">
        <f t="shared" si="14"/>
        <v>140</v>
      </c>
      <c r="H21" s="106">
        <f t="shared" si="20"/>
        <v>3.8194444444444443E-3</v>
      </c>
      <c r="I21" s="110">
        <f t="shared" si="10"/>
        <v>1.7687499999999998E-2</v>
      </c>
      <c r="J21" s="5">
        <v>1.05</v>
      </c>
      <c r="K21" s="5">
        <v>0</v>
      </c>
      <c r="L21" s="5">
        <v>0</v>
      </c>
      <c r="N21" s="5">
        <f t="shared" si="2"/>
        <v>140</v>
      </c>
      <c r="O21" s="97">
        <f t="shared" si="3"/>
        <v>181.81818181818184</v>
      </c>
      <c r="P21" s="5">
        <f t="shared" si="4"/>
        <v>1</v>
      </c>
      <c r="R21" s="96">
        <f t="shared" si="5"/>
        <v>4.0522445419824962</v>
      </c>
      <c r="S21" s="95">
        <f t="shared" si="6"/>
        <v>0.99411417839179439</v>
      </c>
      <c r="T21" s="96">
        <f t="shared" si="7"/>
        <v>60.099071555555561</v>
      </c>
      <c r="U21" s="97"/>
      <c r="V21" s="97">
        <f t="shared" si="11"/>
        <v>51.574021443413592</v>
      </c>
      <c r="W21" s="96">
        <f t="shared" si="12"/>
        <v>59.745339141560777</v>
      </c>
      <c r="X21" s="96">
        <f t="shared" si="15"/>
        <v>0.86023831500505687</v>
      </c>
      <c r="Y21" s="96">
        <f t="shared" si="8"/>
        <v>1.8131614533048053</v>
      </c>
      <c r="Z21" s="96">
        <f t="shared" si="19"/>
        <v>37.306196958451622</v>
      </c>
      <c r="AA21" s="97">
        <f t="shared" si="18"/>
        <v>369.25380304154839</v>
      </c>
      <c r="AB21" s="97">
        <f t="shared" si="16"/>
        <v>369.25380304154839</v>
      </c>
      <c r="AC21" s="97">
        <f t="shared" si="17"/>
        <v>272.09338129824715</v>
      </c>
      <c r="AD21" s="96"/>
      <c r="AE21" s="105">
        <f t="shared" si="9"/>
        <v>7.306196958451622</v>
      </c>
      <c r="AF21" s="93"/>
      <c r="AG21" s="93"/>
    </row>
    <row r="22" spans="1:33" x14ac:dyDescent="0.35">
      <c r="A22" s="57" t="s">
        <v>54</v>
      </c>
      <c r="B22" s="48"/>
      <c r="C22" s="36"/>
      <c r="E22" s="100">
        <f t="shared" si="13"/>
        <v>1.0138888888888911</v>
      </c>
      <c r="F22" s="5">
        <v>20</v>
      </c>
      <c r="G22" s="5">
        <f t="shared" si="14"/>
        <v>140</v>
      </c>
      <c r="H22" s="106">
        <f t="shared" si="20"/>
        <v>3.8194444444444443E-3</v>
      </c>
      <c r="I22" s="110">
        <f t="shared" si="10"/>
        <v>1.7687499999999998E-2</v>
      </c>
      <c r="J22" s="5">
        <v>1.05</v>
      </c>
      <c r="K22" s="5">
        <v>0</v>
      </c>
      <c r="L22" s="5">
        <v>0</v>
      </c>
      <c r="N22" s="5">
        <f t="shared" si="2"/>
        <v>140</v>
      </c>
      <c r="O22" s="97">
        <f t="shared" si="3"/>
        <v>181.81818181818184</v>
      </c>
      <c r="P22" s="5">
        <f t="shared" si="4"/>
        <v>1</v>
      </c>
      <c r="R22" s="96">
        <f t="shared" si="5"/>
        <v>4.0522445419824962</v>
      </c>
      <c r="S22" s="95">
        <f t="shared" si="6"/>
        <v>0.99381350123896306</v>
      </c>
      <c r="T22" s="96">
        <f t="shared" si="7"/>
        <v>60.099071555555561</v>
      </c>
      <c r="U22" s="97"/>
      <c r="V22" s="97">
        <f t="shared" si="11"/>
        <v>51.574021443413592</v>
      </c>
      <c r="W22" s="96">
        <f t="shared" si="12"/>
        <v>59.727268723837646</v>
      </c>
      <c r="X22" s="96">
        <f t="shared" si="15"/>
        <v>0.8589003859515556</v>
      </c>
      <c r="Y22" s="96">
        <f t="shared" si="8"/>
        <v>1.7974784189488786</v>
      </c>
      <c r="Z22" s="96">
        <f t="shared" si="19"/>
        <v>39.103675377400499</v>
      </c>
      <c r="AA22" s="97">
        <f t="shared" si="18"/>
        <v>367.45632462259954</v>
      </c>
      <c r="AB22" s="97">
        <f t="shared" si="16"/>
        <v>367.45632462259954</v>
      </c>
      <c r="AC22" s="97">
        <f t="shared" si="17"/>
        <v>286.36854112708022</v>
      </c>
      <c r="AD22" s="96"/>
      <c r="AE22" s="105">
        <f t="shared" si="9"/>
        <v>9.1036753774004993</v>
      </c>
      <c r="AF22" s="93"/>
      <c r="AG22" s="93"/>
    </row>
    <row r="23" spans="1:33" x14ac:dyDescent="0.35">
      <c r="A23" s="53" t="s">
        <v>56</v>
      </c>
      <c r="B23" s="49"/>
      <c r="C23" s="37"/>
      <c r="E23" s="100">
        <f t="shared" si="13"/>
        <v>1.0145833333333356</v>
      </c>
      <c r="F23" s="5">
        <v>20</v>
      </c>
      <c r="G23" s="5">
        <f t="shared" si="14"/>
        <v>140</v>
      </c>
      <c r="H23" s="106">
        <f t="shared" si="20"/>
        <v>3.8194444444444443E-3</v>
      </c>
      <c r="I23" s="110">
        <f t="shared" si="10"/>
        <v>1.7687499999999998E-2</v>
      </c>
      <c r="J23" s="5">
        <v>1.05</v>
      </c>
      <c r="K23" s="5">
        <v>0</v>
      </c>
      <c r="L23" s="5">
        <v>0</v>
      </c>
      <c r="N23" s="5">
        <f t="shared" si="2"/>
        <v>140</v>
      </c>
      <c r="O23" s="97">
        <f t="shared" si="3"/>
        <v>181.81818181818184</v>
      </c>
      <c r="P23" s="5">
        <f t="shared" si="4"/>
        <v>1</v>
      </c>
      <c r="R23" s="96">
        <f t="shared" si="5"/>
        <v>4.0522445419824962</v>
      </c>
      <c r="S23" s="95">
        <f t="shared" si="6"/>
        <v>0.99351542480881405</v>
      </c>
      <c r="T23" s="96">
        <f t="shared" si="7"/>
        <v>60.099071555555561</v>
      </c>
      <c r="U23" s="97"/>
      <c r="V23" s="97">
        <f t="shared" si="11"/>
        <v>51.574021443413592</v>
      </c>
      <c r="W23" s="96">
        <f t="shared" si="12"/>
        <v>59.709354607133093</v>
      </c>
      <c r="X23" s="96">
        <f t="shared" si="15"/>
        <v>0.85757402938503491</v>
      </c>
      <c r="Y23" s="96">
        <f t="shared" si="8"/>
        <v>1.7819400752700494</v>
      </c>
      <c r="Z23" s="96">
        <f t="shared" si="19"/>
        <v>40.88561545267055</v>
      </c>
      <c r="AA23" s="97">
        <f t="shared" si="18"/>
        <v>365.67438454732951</v>
      </c>
      <c r="AB23" s="97">
        <f t="shared" si="16"/>
        <v>365.67438454732951</v>
      </c>
      <c r="AC23" s="97">
        <f t="shared" si="17"/>
        <v>300.63941937926307</v>
      </c>
      <c r="AD23" s="96"/>
      <c r="AE23" s="105">
        <f t="shared" si="9"/>
        <v>10.88561545267055</v>
      </c>
      <c r="AF23" s="93"/>
      <c r="AG23" s="93"/>
    </row>
    <row r="24" spans="1:33" x14ac:dyDescent="0.35">
      <c r="A24" s="54" t="s">
        <v>6</v>
      </c>
      <c r="B24" s="50" t="s">
        <v>7</v>
      </c>
      <c r="C24" s="38" t="s">
        <v>60</v>
      </c>
      <c r="E24" s="100">
        <f t="shared" si="13"/>
        <v>1.0152777777777802</v>
      </c>
      <c r="F24" s="5">
        <v>20</v>
      </c>
      <c r="G24" s="5">
        <f t="shared" si="14"/>
        <v>140</v>
      </c>
      <c r="H24" s="106">
        <f t="shared" si="20"/>
        <v>3.8194444444444443E-3</v>
      </c>
      <c r="I24" s="110">
        <f t="shared" si="10"/>
        <v>1.7687499999999998E-2</v>
      </c>
      <c r="J24" s="5">
        <v>1.05</v>
      </c>
      <c r="K24" s="5">
        <v>0</v>
      </c>
      <c r="L24" s="5">
        <v>0</v>
      </c>
      <c r="N24" s="5">
        <f t="shared" si="2"/>
        <v>140</v>
      </c>
      <c r="O24" s="97">
        <f t="shared" si="3"/>
        <v>181.81818181818184</v>
      </c>
      <c r="P24" s="5">
        <f t="shared" si="4"/>
        <v>1</v>
      </c>
      <c r="R24" s="96">
        <f t="shared" si="5"/>
        <v>4.0522445419824962</v>
      </c>
      <c r="S24" s="95">
        <f t="shared" si="6"/>
        <v>0.99321992510724488</v>
      </c>
      <c r="T24" s="96">
        <f t="shared" si="7"/>
        <v>60.099071555555561</v>
      </c>
      <c r="U24" s="97"/>
      <c r="V24" s="97">
        <f t="shared" si="11"/>
        <v>51.574021443413592</v>
      </c>
      <c r="W24" s="96">
        <f t="shared" si="12"/>
        <v>59.691595349423842</v>
      </c>
      <c r="X24" s="96">
        <f t="shared" si="15"/>
        <v>0.85625913853846614</v>
      </c>
      <c r="Y24" s="96">
        <f t="shared" si="8"/>
        <v>1.7665449369863038</v>
      </c>
      <c r="Z24" s="96">
        <f t="shared" si="19"/>
        <v>42.652160389656856</v>
      </c>
      <c r="AA24" s="97">
        <f t="shared" si="18"/>
        <v>363.90783961034322</v>
      </c>
      <c r="AB24" s="97">
        <f t="shared" si="16"/>
        <v>363.90783961034322</v>
      </c>
      <c r="AC24" s="97">
        <f t="shared" si="17"/>
        <v>314.90605306698387</v>
      </c>
      <c r="AD24" s="96"/>
      <c r="AE24" s="105">
        <f t="shared" si="9"/>
        <v>12.652160389656856</v>
      </c>
      <c r="AF24" s="93"/>
      <c r="AG24" s="93"/>
    </row>
    <row r="25" spans="1:33" x14ac:dyDescent="0.35">
      <c r="A25" s="55" t="s">
        <v>61</v>
      </c>
      <c r="B25" s="5" t="s">
        <v>23</v>
      </c>
      <c r="C25" s="40">
        <f>C14*(1-C18)</f>
        <v>61.6</v>
      </c>
      <c r="E25" s="100">
        <f>E24+TIME(0,1,0)</f>
        <v>1.0159722222222247</v>
      </c>
      <c r="F25" s="5">
        <v>20</v>
      </c>
      <c r="G25" s="5">
        <f>G24</f>
        <v>140</v>
      </c>
      <c r="H25" s="106">
        <f t="shared" si="20"/>
        <v>3.8194444444444443E-3</v>
      </c>
      <c r="I25" s="110">
        <f t="shared" si="10"/>
        <v>1.7687499999999998E-2</v>
      </c>
      <c r="J25" s="5">
        <v>1.05</v>
      </c>
      <c r="K25" s="5">
        <v>0</v>
      </c>
      <c r="L25" s="5">
        <v>0</v>
      </c>
      <c r="N25" s="5">
        <f t="shared" si="2"/>
        <v>140</v>
      </c>
      <c r="O25" s="97">
        <f t="shared" si="3"/>
        <v>181.81818181818184</v>
      </c>
      <c r="P25" s="5">
        <f t="shared" si="4"/>
        <v>1</v>
      </c>
      <c r="R25" s="96">
        <f t="shared" si="5"/>
        <v>4.0522445419824962</v>
      </c>
      <c r="S25" s="95">
        <f t="shared" si="6"/>
        <v>0.99292697838645871</v>
      </c>
      <c r="T25" s="96">
        <f t="shared" si="7"/>
        <v>60.099071555555561</v>
      </c>
      <c r="U25" s="97"/>
      <c r="V25" s="97">
        <f t="shared" si="11"/>
        <v>51.574021443413592</v>
      </c>
      <c r="W25" s="96">
        <f t="shared" si="12"/>
        <v>59.673989523489354</v>
      </c>
      <c r="X25" s="96">
        <f t="shared" si="15"/>
        <v>0.85495560774080803</v>
      </c>
      <c r="Y25" s="96">
        <f t="shared" si="8"/>
        <v>1.7512915365399444</v>
      </c>
      <c r="Z25" s="96">
        <f>Z24+Y25</f>
        <v>44.403451926196801</v>
      </c>
      <c r="AA25" s="97">
        <f t="shared" si="18"/>
        <v>362.15654807380326</v>
      </c>
      <c r="AB25" s="97">
        <f t="shared" si="16"/>
        <v>362.15654807380326</v>
      </c>
      <c r="AC25" s="97">
        <f t="shared" si="17"/>
        <v>329.16847886131688</v>
      </c>
      <c r="AD25" s="96"/>
      <c r="AE25" s="105">
        <f t="shared" si="9"/>
        <v>14.403451926196801</v>
      </c>
      <c r="AF25" s="93"/>
      <c r="AG25" s="93"/>
    </row>
    <row r="26" spans="1:33" x14ac:dyDescent="0.35">
      <c r="A26" s="55" t="s">
        <v>63</v>
      </c>
      <c r="B26" s="5" t="s">
        <v>64</v>
      </c>
      <c r="C26" s="39">
        <f>500+(22*C25)</f>
        <v>1855.2</v>
      </c>
      <c r="E26" s="100">
        <f t="shared" si="13"/>
        <v>1.0166666666666693</v>
      </c>
      <c r="F26" s="5">
        <v>20</v>
      </c>
      <c r="G26" s="5">
        <f t="shared" si="14"/>
        <v>140</v>
      </c>
      <c r="H26" s="106">
        <f t="shared" si="20"/>
        <v>3.8194444444444443E-3</v>
      </c>
      <c r="I26" s="110">
        <f t="shared" si="10"/>
        <v>1.7687499999999998E-2</v>
      </c>
      <c r="J26" s="5">
        <v>1.05</v>
      </c>
      <c r="K26" s="5">
        <v>0</v>
      </c>
      <c r="L26" s="5">
        <v>0</v>
      </c>
      <c r="N26" s="5">
        <f t="shared" si="2"/>
        <v>140</v>
      </c>
      <c r="O26" s="97">
        <f t="shared" si="3"/>
        <v>181.81818181818184</v>
      </c>
      <c r="P26" s="5">
        <f t="shared" si="4"/>
        <v>1</v>
      </c>
      <c r="R26" s="96">
        <f t="shared" si="5"/>
        <v>4.0522445419824962</v>
      </c>
      <c r="S26" s="95">
        <f t="shared" si="6"/>
        <v>0.9926365611420237</v>
      </c>
      <c r="T26" s="96">
        <f t="shared" si="7"/>
        <v>60.099071555555561</v>
      </c>
      <c r="U26" s="97"/>
      <c r="V26" s="97">
        <f t="shared" si="11"/>
        <v>51.574021443413592</v>
      </c>
      <c r="W26" s="96">
        <f t="shared" si="12"/>
        <v>59.656535716735085</v>
      </c>
      <c r="X26" s="96">
        <f t="shared" si="15"/>
        <v>0.85366333240392789</v>
      </c>
      <c r="Y26" s="96">
        <f t="shared" si="8"/>
        <v>1.7361784238461104</v>
      </c>
      <c r="Z26" s="96">
        <f t="shared" si="19"/>
        <v>46.139630350042914</v>
      </c>
      <c r="AA26" s="97">
        <f t="shared" si="18"/>
        <v>360.42036964995714</v>
      </c>
      <c r="AB26" s="97">
        <f t="shared" si="16"/>
        <v>360.42036964995714</v>
      </c>
      <c r="AC26" s="97">
        <f t="shared" si="17"/>
        <v>343.42673309571819</v>
      </c>
      <c r="AD26" s="96"/>
      <c r="AE26" s="105">
        <f t="shared" si="9"/>
        <v>16.139630350042914</v>
      </c>
      <c r="AF26" s="93"/>
      <c r="AG26" s="93"/>
    </row>
    <row r="27" spans="1:33" x14ac:dyDescent="0.35">
      <c r="A27" s="55" t="s">
        <v>67</v>
      </c>
      <c r="B27" s="5" t="s">
        <v>64</v>
      </c>
      <c r="C27" s="39">
        <f>(370+(21.6*C25))</f>
        <v>1700.5600000000002</v>
      </c>
      <c r="E27" s="100">
        <f t="shared" si="13"/>
        <v>1.0173611111111138</v>
      </c>
      <c r="F27" s="5">
        <v>20</v>
      </c>
      <c r="G27" s="5">
        <f t="shared" si="14"/>
        <v>140</v>
      </c>
      <c r="H27" s="106">
        <f t="shared" si="20"/>
        <v>3.8194444444444443E-3</v>
      </c>
      <c r="I27" s="110">
        <f t="shared" si="10"/>
        <v>1.7687499999999998E-2</v>
      </c>
      <c r="J27" s="5">
        <v>1.05</v>
      </c>
      <c r="K27" s="5">
        <v>0</v>
      </c>
      <c r="L27" s="5">
        <v>0</v>
      </c>
      <c r="N27" s="5">
        <f t="shared" si="2"/>
        <v>140</v>
      </c>
      <c r="O27" s="97">
        <f t="shared" si="3"/>
        <v>181.81818181818184</v>
      </c>
      <c r="P27" s="5">
        <f t="shared" si="4"/>
        <v>1</v>
      </c>
      <c r="R27" s="96">
        <f t="shared" si="5"/>
        <v>4.0522445419824962</v>
      </c>
      <c r="S27" s="95">
        <f t="shared" si="6"/>
        <v>0.99234865010997664</v>
      </c>
      <c r="T27" s="96">
        <f t="shared" si="7"/>
        <v>60.099071555555561</v>
      </c>
      <c r="U27" s="97"/>
      <c r="V27" s="97">
        <f t="shared" si="11"/>
        <v>51.574021443413592</v>
      </c>
      <c r="W27" s="96">
        <f t="shared" si="12"/>
        <v>59.639232531018457</v>
      </c>
      <c r="X27" s="96">
        <f t="shared" si="15"/>
        <v>0.85238220900970851</v>
      </c>
      <c r="Y27" s="96">
        <f t="shared" si="8"/>
        <v>1.7212041660455046</v>
      </c>
      <c r="Z27" s="96">
        <f t="shared" si="19"/>
        <v>47.860834516088417</v>
      </c>
      <c r="AA27" s="97">
        <f t="shared" si="18"/>
        <v>358.69916548391166</v>
      </c>
      <c r="AB27" s="97">
        <f t="shared" si="16"/>
        <v>358.69916548391166</v>
      </c>
      <c r="AC27" s="97">
        <f t="shared" si="17"/>
        <v>357.68085176947977</v>
      </c>
      <c r="AD27" s="96"/>
      <c r="AE27" s="105">
        <f t="shared" si="9"/>
        <v>17.860834516088417</v>
      </c>
      <c r="AF27" s="93"/>
      <c r="AG27" s="93"/>
    </row>
    <row r="28" spans="1:33" x14ac:dyDescent="0.35">
      <c r="A28" s="55" t="s">
        <v>70</v>
      </c>
      <c r="B28" s="5" t="s">
        <v>64</v>
      </c>
      <c r="C28" s="39">
        <f>10*C14+6.25*C15*100-5*C13+IF(C12=1,5,-161)</f>
        <v>1700</v>
      </c>
      <c r="E28" s="100">
        <f t="shared" si="13"/>
        <v>1.0180555555555584</v>
      </c>
      <c r="F28" s="5">
        <v>20</v>
      </c>
      <c r="G28" s="5">
        <f t="shared" si="14"/>
        <v>140</v>
      </c>
      <c r="H28" s="106">
        <f t="shared" si="20"/>
        <v>3.8194444444444443E-3</v>
      </c>
      <c r="I28" s="110">
        <f t="shared" si="10"/>
        <v>1.7687499999999998E-2</v>
      </c>
      <c r="J28" s="5">
        <v>1.05</v>
      </c>
      <c r="K28" s="5">
        <v>0</v>
      </c>
      <c r="L28" s="5">
        <v>0</v>
      </c>
      <c r="N28" s="5">
        <f t="shared" si="2"/>
        <v>140</v>
      </c>
      <c r="O28" s="97">
        <f t="shared" si="3"/>
        <v>181.81818181818184</v>
      </c>
      <c r="P28" s="5">
        <f t="shared" si="4"/>
        <v>1</v>
      </c>
      <c r="R28" s="96">
        <f t="shared" si="5"/>
        <v>4.0522445419824962</v>
      </c>
      <c r="S28" s="95">
        <f t="shared" si="6"/>
        <v>0.99206322226396504</v>
      </c>
      <c r="T28" s="96">
        <f t="shared" si="7"/>
        <v>60.099071555555561</v>
      </c>
      <c r="U28" s="97"/>
      <c r="V28" s="97">
        <f t="shared" si="11"/>
        <v>51.574021443413592</v>
      </c>
      <c r="W28" s="96">
        <f t="shared" si="12"/>
        <v>59.622078582477059</v>
      </c>
      <c r="X28" s="96">
        <f t="shared" si="15"/>
        <v>0.8511121350973373</v>
      </c>
      <c r="Y28" s="96">
        <f t="shared" si="8"/>
        <v>1.7063673472612377</v>
      </c>
      <c r="Z28" s="96">
        <f t="shared" si="19"/>
        <v>49.567201863349652</v>
      </c>
      <c r="AA28" s="97">
        <f t="shared" si="18"/>
        <v>356.99279813665044</v>
      </c>
      <c r="AB28" s="97">
        <f t="shared" si="16"/>
        <v>356.99279813665044</v>
      </c>
      <c r="AC28" s="97">
        <f t="shared" si="17"/>
        <v>371.93087055114256</v>
      </c>
      <c r="AD28" s="96"/>
      <c r="AE28" s="105">
        <f t="shared" si="9"/>
        <v>19.567201863349652</v>
      </c>
      <c r="AF28" s="93"/>
      <c r="AG28" s="93"/>
    </row>
    <row r="29" spans="1:33" x14ac:dyDescent="0.35">
      <c r="A29" s="55" t="s">
        <v>225</v>
      </c>
      <c r="B29" s="5" t="s">
        <v>226</v>
      </c>
      <c r="C29" s="39">
        <f>C25*0.55*IF(C20=1,12,IF(C20=2,15,IF(C20=3,18,23)))</f>
        <v>406.56000000000006</v>
      </c>
      <c r="E29" s="100">
        <f t="shared" si="13"/>
        <v>1.0187500000000029</v>
      </c>
      <c r="F29" s="5">
        <v>20</v>
      </c>
      <c r="G29" s="5">
        <f t="shared" si="14"/>
        <v>140</v>
      </c>
      <c r="H29" s="106">
        <f t="shared" si="20"/>
        <v>3.8194444444444443E-3</v>
      </c>
      <c r="I29" s="110">
        <f t="shared" si="10"/>
        <v>1.7687499999999998E-2</v>
      </c>
      <c r="J29" s="5">
        <v>1.05</v>
      </c>
      <c r="K29" s="5">
        <v>0</v>
      </c>
      <c r="L29" s="5">
        <v>0</v>
      </c>
      <c r="N29" s="5">
        <f t="shared" si="2"/>
        <v>140</v>
      </c>
      <c r="O29" s="97">
        <f t="shared" si="3"/>
        <v>181.81818181818184</v>
      </c>
      <c r="P29" s="5">
        <f t="shared" si="4"/>
        <v>1</v>
      </c>
      <c r="R29" s="96">
        <f t="shared" si="5"/>
        <v>4.0522445419824962</v>
      </c>
      <c r="S29" s="95">
        <f t="shared" si="6"/>
        <v>0.99178025481243259</v>
      </c>
      <c r="T29" s="96">
        <f t="shared" si="7"/>
        <v>60.099071555555561</v>
      </c>
      <c r="U29" s="97"/>
      <c r="V29" s="97">
        <f t="shared" si="11"/>
        <v>51.574021443413592</v>
      </c>
      <c r="W29" s="96">
        <f t="shared" si="12"/>
        <v>59.605072501359516</v>
      </c>
      <c r="X29" s="96">
        <f t="shared" si="15"/>
        <v>0.849853009250775</v>
      </c>
      <c r="Y29" s="96">
        <f t="shared" si="8"/>
        <v>1.6916665683597243</v>
      </c>
      <c r="Z29" s="96">
        <f t="shared" si="19"/>
        <v>51.258868431709374</v>
      </c>
      <c r="AA29" s="97">
        <f t="shared" si="18"/>
        <v>355.30113156829071</v>
      </c>
      <c r="AB29" s="97">
        <f t="shared" si="16"/>
        <v>355.30113156829071</v>
      </c>
      <c r="AC29" s="97">
        <f t="shared" si="17"/>
        <v>386.17682478186902</v>
      </c>
      <c r="AD29" s="96"/>
      <c r="AE29" s="105">
        <f t="shared" si="9"/>
        <v>21.258868431709374</v>
      </c>
      <c r="AF29" s="93"/>
      <c r="AG29" s="93"/>
    </row>
    <row r="30" spans="1:33" x14ac:dyDescent="0.35">
      <c r="A30" s="55" t="s">
        <v>96</v>
      </c>
      <c r="B30" s="5" t="s">
        <v>97</v>
      </c>
      <c r="C30" s="39">
        <f>+$C$27/1440*4.184 - IF($C$12=1, -95.7735+(0.634*$C$16)+(0.404*$C$19)+(0.394*$C$14)+(0.271*$C$13), -59.3954+(0.45*$C$16)+(0.38*$C$19)+(0.103*$C$14)+(0.274*$C$13))</f>
        <v>8.2465715555555477</v>
      </c>
      <c r="E30" s="100">
        <f t="shared" si="13"/>
        <v>1.0194444444444475</v>
      </c>
      <c r="F30" s="5">
        <v>20</v>
      </c>
      <c r="G30" s="5">
        <f t="shared" si="14"/>
        <v>140</v>
      </c>
      <c r="H30" s="106">
        <f t="shared" si="20"/>
        <v>3.8194444444444443E-3</v>
      </c>
      <c r="I30" s="110">
        <f t="shared" si="10"/>
        <v>1.7687499999999998E-2</v>
      </c>
      <c r="J30" s="5">
        <v>1.05</v>
      </c>
      <c r="K30" s="5">
        <v>0</v>
      </c>
      <c r="L30" s="5">
        <v>0</v>
      </c>
      <c r="N30" s="5">
        <f t="shared" si="2"/>
        <v>140</v>
      </c>
      <c r="O30" s="97">
        <f t="shared" si="3"/>
        <v>181.81818181818184</v>
      </c>
      <c r="P30" s="5">
        <f t="shared" si="4"/>
        <v>1</v>
      </c>
      <c r="R30" s="96">
        <f t="shared" si="5"/>
        <v>4.0522445419824962</v>
      </c>
      <c r="S30" s="95">
        <f t="shared" si="6"/>
        <v>0.99149972519584095</v>
      </c>
      <c r="T30" s="96">
        <f t="shared" si="7"/>
        <v>60.099071555555561</v>
      </c>
      <c r="U30" s="97"/>
      <c r="V30" s="97">
        <f t="shared" si="11"/>
        <v>51.574021443413592</v>
      </c>
      <c r="W30" s="96">
        <f t="shared" si="12"/>
        <v>59.588212931858521</v>
      </c>
      <c r="X30" s="96">
        <f t="shared" si="15"/>
        <v>0.84860473108640089</v>
      </c>
      <c r="Y30" s="96">
        <f t="shared" si="8"/>
        <v>1.6771004467155366</v>
      </c>
      <c r="Z30" s="96">
        <f t="shared" si="19"/>
        <v>52.935968878424909</v>
      </c>
      <c r="AA30" s="97">
        <f t="shared" si="18"/>
        <v>353.62403112157517</v>
      </c>
      <c r="AB30" s="97">
        <f t="shared" si="16"/>
        <v>353.62403112157517</v>
      </c>
      <c r="AC30" s="97">
        <f t="shared" si="17"/>
        <v>400.41874947877591</v>
      </c>
      <c r="AD30" s="96"/>
      <c r="AE30" s="105">
        <f t="shared" si="9"/>
        <v>22.935968878424909</v>
      </c>
      <c r="AF30" s="93"/>
    </row>
    <row r="31" spans="1:33" x14ac:dyDescent="0.35">
      <c r="A31" s="56" t="s">
        <v>148</v>
      </c>
      <c r="B31" s="29" t="s">
        <v>52</v>
      </c>
      <c r="C31" s="99">
        <f>C27/1440/4.82*1000/C14</f>
        <v>3.5001317262728051</v>
      </c>
      <c r="E31" s="100">
        <f t="shared" si="13"/>
        <v>1.020138888888892</v>
      </c>
      <c r="F31" s="5">
        <v>20</v>
      </c>
      <c r="G31" s="5">
        <f t="shared" si="14"/>
        <v>140</v>
      </c>
      <c r="H31" s="106">
        <f t="shared" si="20"/>
        <v>3.8194444444444443E-3</v>
      </c>
      <c r="I31" s="110">
        <f t="shared" si="10"/>
        <v>1.7687499999999998E-2</v>
      </c>
      <c r="J31" s="5">
        <v>1.05</v>
      </c>
      <c r="K31" s="5">
        <v>0</v>
      </c>
      <c r="L31" s="5">
        <v>0</v>
      </c>
      <c r="N31" s="5">
        <f t="shared" si="2"/>
        <v>140</v>
      </c>
      <c r="O31" s="97">
        <f t="shared" si="3"/>
        <v>181.81818181818184</v>
      </c>
      <c r="P31" s="5">
        <f t="shared" si="4"/>
        <v>1</v>
      </c>
      <c r="R31" s="96">
        <f t="shared" si="5"/>
        <v>4.0522445419824962</v>
      </c>
      <c r="S31" s="95">
        <f t="shared" si="6"/>
        <v>0.99122161108393347</v>
      </c>
      <c r="T31" s="96">
        <f t="shared" si="7"/>
        <v>60.099071555555561</v>
      </c>
      <c r="U31" s="97"/>
      <c r="V31" s="97">
        <f t="shared" si="11"/>
        <v>51.574021443413592</v>
      </c>
      <c r="W31" s="96">
        <f t="shared" si="12"/>
        <v>59.571498531946382</v>
      </c>
      <c r="X31" s="96">
        <f t="shared" si="15"/>
        <v>0.84736720124083165</v>
      </c>
      <c r="Y31" s="96">
        <f t="shared" si="8"/>
        <v>1.6626676159801612</v>
      </c>
      <c r="Z31" s="96">
        <f t="shared" si="19"/>
        <v>54.598636494405071</v>
      </c>
      <c r="AA31" s="97">
        <f t="shared" si="18"/>
        <v>351.96136350559499</v>
      </c>
      <c r="AB31" s="97">
        <f t="shared" si="16"/>
        <v>351.96136350559499</v>
      </c>
      <c r="AC31" s="97">
        <f t="shared" si="17"/>
        <v>414.65667933822772</v>
      </c>
      <c r="AD31" s="96"/>
      <c r="AE31" s="105">
        <f t="shared" si="9"/>
        <v>24.598636494405071</v>
      </c>
      <c r="AF31" s="93"/>
    </row>
    <row r="32" spans="1:33" x14ac:dyDescent="0.35">
      <c r="E32" s="100">
        <f t="shared" si="13"/>
        <v>1.0208333333333366</v>
      </c>
      <c r="F32" s="5">
        <v>20</v>
      </c>
      <c r="G32" s="5">
        <f t="shared" si="14"/>
        <v>140</v>
      </c>
      <c r="H32" s="106">
        <f t="shared" si="20"/>
        <v>3.8194444444444443E-3</v>
      </c>
      <c r="I32" s="110">
        <f t="shared" si="10"/>
        <v>1.7687499999999998E-2</v>
      </c>
      <c r="J32" s="5">
        <v>1.05</v>
      </c>
      <c r="K32" s="5">
        <v>0</v>
      </c>
      <c r="L32" s="5">
        <v>0</v>
      </c>
      <c r="N32" s="5">
        <f t="shared" si="2"/>
        <v>140</v>
      </c>
      <c r="O32" s="97">
        <f t="shared" si="3"/>
        <v>181.81818181818184</v>
      </c>
      <c r="P32" s="5">
        <f t="shared" si="4"/>
        <v>1</v>
      </c>
      <c r="R32" s="96">
        <f t="shared" si="5"/>
        <v>4.0522445419824962</v>
      </c>
      <c r="S32" s="95">
        <f t="shared" si="6"/>
        <v>0.99094589037303582</v>
      </c>
      <c r="T32" s="96">
        <f t="shared" si="7"/>
        <v>60.099071555555561</v>
      </c>
      <c r="U32" s="97"/>
      <c r="V32" s="97">
        <f t="shared" si="11"/>
        <v>51.574021443413592</v>
      </c>
      <c r="W32" s="96">
        <f t="shared" si="12"/>
        <v>59.554927973212799</v>
      </c>
      <c r="X32" s="96">
        <f t="shared" si="15"/>
        <v>0.84614032135891004</v>
      </c>
      <c r="Y32" s="96">
        <f t="shared" si="8"/>
        <v>1.6483667258545571</v>
      </c>
      <c r="Z32" s="96">
        <f t="shared" si="19"/>
        <v>56.247003220259629</v>
      </c>
      <c r="AA32" s="97">
        <f t="shared" si="18"/>
        <v>350.31299677974044</v>
      </c>
      <c r="AB32" s="97">
        <f t="shared" si="16"/>
        <v>350.31299677974044</v>
      </c>
      <c r="AC32" s="97">
        <f t="shared" si="17"/>
        <v>428.8906487390912</v>
      </c>
      <c r="AD32" s="96"/>
      <c r="AE32" s="105">
        <f t="shared" si="9"/>
        <v>26.247003220259629</v>
      </c>
      <c r="AF32" s="93"/>
    </row>
    <row r="33" spans="1:32" x14ac:dyDescent="0.35">
      <c r="A33" s="57" t="s">
        <v>227</v>
      </c>
      <c r="E33" s="100">
        <f t="shared" si="13"/>
        <v>1.0215277777777811</v>
      </c>
      <c r="F33" s="5">
        <v>20</v>
      </c>
      <c r="G33" s="5">
        <f t="shared" si="14"/>
        <v>140</v>
      </c>
      <c r="H33" s="106">
        <f t="shared" si="20"/>
        <v>3.8194444444444443E-3</v>
      </c>
      <c r="I33" s="110">
        <f t="shared" si="10"/>
        <v>1.7687499999999998E-2</v>
      </c>
      <c r="J33" s="5">
        <v>1.05</v>
      </c>
      <c r="K33" s="5">
        <v>0</v>
      </c>
      <c r="L33" s="5">
        <v>0</v>
      </c>
      <c r="N33" s="5">
        <f t="shared" si="2"/>
        <v>140</v>
      </c>
      <c r="O33" s="97">
        <f t="shared" si="3"/>
        <v>181.81818181818184</v>
      </c>
      <c r="P33" s="5">
        <f t="shared" si="4"/>
        <v>1</v>
      </c>
      <c r="R33" s="96">
        <f t="shared" si="5"/>
        <v>4.0522445419824962</v>
      </c>
      <c r="S33" s="95">
        <f t="shared" si="6"/>
        <v>0.99067254118339343</v>
      </c>
      <c r="T33" s="96">
        <f t="shared" si="7"/>
        <v>60.099071555555561</v>
      </c>
      <c r="U33" s="97"/>
      <c r="V33" s="97">
        <f t="shared" si="11"/>
        <v>51.574021443413592</v>
      </c>
      <c r="W33" s="96">
        <f t="shared" si="12"/>
        <v>59.538499940704824</v>
      </c>
      <c r="X33" s="96">
        <f t="shared" si="15"/>
        <v>0.84492399408186269</v>
      </c>
      <c r="Y33" s="96">
        <f t="shared" si="8"/>
        <v>1.6341964418654715</v>
      </c>
      <c r="Z33" s="96">
        <f t="shared" si="19"/>
        <v>57.881199662125098</v>
      </c>
      <c r="AA33" s="97">
        <f t="shared" si="18"/>
        <v>348.67880033787497</v>
      </c>
      <c r="AB33" s="97">
        <f t="shared" si="16"/>
        <v>348.67880033787497</v>
      </c>
      <c r="AC33" s="97">
        <f t="shared" si="17"/>
        <v>443.12069174595183</v>
      </c>
      <c r="AD33" s="96"/>
      <c r="AE33" s="105">
        <f t="shared" si="9"/>
        <v>27.881199662125098</v>
      </c>
      <c r="AF33" s="93"/>
    </row>
    <row r="34" spans="1:32" x14ac:dyDescent="0.35">
      <c r="A34" s="8" t="s">
        <v>228</v>
      </c>
      <c r="B34" s="5" t="s">
        <v>229</v>
      </c>
      <c r="C34" s="128">
        <v>30</v>
      </c>
      <c r="E34" s="100">
        <f t="shared" si="13"/>
        <v>1.0222222222222257</v>
      </c>
      <c r="F34" s="5">
        <v>20</v>
      </c>
      <c r="G34" s="5">
        <f t="shared" si="14"/>
        <v>140</v>
      </c>
      <c r="H34" s="106">
        <f t="shared" si="20"/>
        <v>3.8194444444444443E-3</v>
      </c>
      <c r="I34" s="110">
        <f t="shared" si="10"/>
        <v>1.7687499999999998E-2</v>
      </c>
      <c r="J34" s="5">
        <v>1.05</v>
      </c>
      <c r="K34" s="5">
        <v>0</v>
      </c>
      <c r="L34" s="5">
        <v>0</v>
      </c>
      <c r="N34" s="5">
        <f t="shared" si="2"/>
        <v>140</v>
      </c>
      <c r="O34" s="97">
        <f t="shared" si="3"/>
        <v>181.81818181818184</v>
      </c>
      <c r="P34" s="5">
        <f t="shared" si="4"/>
        <v>1</v>
      </c>
      <c r="R34" s="96">
        <f t="shared" si="5"/>
        <v>4.0522445419824962</v>
      </c>
      <c r="S34" s="95">
        <f t="shared" si="6"/>
        <v>0.99040154185654827</v>
      </c>
      <c r="T34" s="96">
        <f t="shared" si="7"/>
        <v>60.099071555555561</v>
      </c>
      <c r="U34" s="97"/>
      <c r="V34" s="97">
        <f t="shared" si="11"/>
        <v>51.574021443413592</v>
      </c>
      <c r="W34" s="96">
        <f t="shared" si="12"/>
        <v>59.522213132769252</v>
      </c>
      <c r="X34" s="96">
        <f t="shared" si="15"/>
        <v>0.84371812303562188</v>
      </c>
      <c r="Y34" s="96">
        <f t="shared" si="8"/>
        <v>1.6201554451454248</v>
      </c>
      <c r="Z34" s="96">
        <f t="shared" si="19"/>
        <v>59.50135510727052</v>
      </c>
      <c r="AA34" s="97">
        <f t="shared" si="18"/>
        <v>347.05864489272955</v>
      </c>
      <c r="AB34" s="97">
        <f t="shared" si="16"/>
        <v>347.05864489272955</v>
      </c>
      <c r="AC34" s="97">
        <f t="shared" si="17"/>
        <v>457.34684211229245</v>
      </c>
      <c r="AD34" s="96"/>
      <c r="AE34" s="105">
        <f t="shared" si="9"/>
        <v>29.50135510727052</v>
      </c>
      <c r="AF34" s="93"/>
    </row>
    <row r="35" spans="1:32" x14ac:dyDescent="0.35">
      <c r="A35" s="8" t="s">
        <v>230</v>
      </c>
      <c r="B35" s="5" t="s">
        <v>199</v>
      </c>
      <c r="C35" s="100">
        <v>2.7777777777777776E-2</v>
      </c>
      <c r="E35" s="100">
        <f t="shared" si="13"/>
        <v>1.0229166666666702</v>
      </c>
      <c r="F35" s="5">
        <v>20</v>
      </c>
      <c r="G35" s="5">
        <f t="shared" si="14"/>
        <v>140</v>
      </c>
      <c r="H35" s="106">
        <f t="shared" si="20"/>
        <v>3.8194444444444443E-3</v>
      </c>
      <c r="I35" s="110">
        <f t="shared" si="10"/>
        <v>1.7687499999999998E-2</v>
      </c>
      <c r="J35" s="5">
        <v>1.05</v>
      </c>
      <c r="K35" s="5">
        <v>0</v>
      </c>
      <c r="L35" s="5">
        <v>0</v>
      </c>
      <c r="N35" s="5">
        <f t="shared" si="2"/>
        <v>140</v>
      </c>
      <c r="O35" s="97">
        <f t="shared" si="3"/>
        <v>181.81818181818184</v>
      </c>
      <c r="P35" s="5">
        <f t="shared" si="4"/>
        <v>1</v>
      </c>
      <c r="R35" s="96">
        <f t="shared" si="5"/>
        <v>4.0522445419824962</v>
      </c>
      <c r="S35" s="95">
        <f t="shared" si="6"/>
        <v>0.99013287095275071</v>
      </c>
      <c r="T35" s="96">
        <f t="shared" si="7"/>
        <v>60.099071555555561</v>
      </c>
      <c r="U35" s="97"/>
      <c r="V35" s="97">
        <f t="shared" si="11"/>
        <v>51.574021443413592</v>
      </c>
      <c r="W35" s="96">
        <f t="shared" si="12"/>
        <v>59.506066260897022</v>
      </c>
      <c r="X35" s="96">
        <f t="shared" si="15"/>
        <v>0.8425226128193104</v>
      </c>
      <c r="Y35" s="96">
        <f t="shared" si="8"/>
        <v>1.6062424322162989</v>
      </c>
      <c r="Z35" s="96">
        <f t="shared" si="19"/>
        <v>61.107597539486818</v>
      </c>
      <c r="AA35" s="97">
        <f t="shared" si="18"/>
        <v>345.45240246051327</v>
      </c>
      <c r="AB35" s="97">
        <f t="shared" si="16"/>
        <v>345.45240246051327</v>
      </c>
      <c r="AC35" s="97">
        <f t="shared" si="17"/>
        <v>471.56913328363493</v>
      </c>
      <c r="AD35" s="96"/>
      <c r="AE35" s="105">
        <f t="shared" si="9"/>
        <v>1.1075975394868181</v>
      </c>
      <c r="AF35" s="93"/>
    </row>
    <row r="36" spans="1:32" x14ac:dyDescent="0.35">
      <c r="E36" s="100">
        <f t="shared" si="13"/>
        <v>1.0236111111111148</v>
      </c>
      <c r="F36" s="5">
        <v>20</v>
      </c>
      <c r="G36" s="5">
        <f t="shared" si="14"/>
        <v>140</v>
      </c>
      <c r="H36" s="106">
        <f t="shared" si="20"/>
        <v>3.8194444444444443E-3</v>
      </c>
      <c r="I36" s="110">
        <f t="shared" si="10"/>
        <v>1.7687499999999998E-2</v>
      </c>
      <c r="J36" s="5">
        <v>1.05</v>
      </c>
      <c r="K36" s="5">
        <v>0</v>
      </c>
      <c r="L36" s="5">
        <v>0</v>
      </c>
      <c r="N36" s="5">
        <f t="shared" si="2"/>
        <v>140</v>
      </c>
      <c r="O36" s="97">
        <f t="shared" si="3"/>
        <v>181.81818181818184</v>
      </c>
      <c r="P36" s="5">
        <f t="shared" si="4"/>
        <v>1</v>
      </c>
      <c r="R36" s="96">
        <f t="shared" si="5"/>
        <v>4.0522445419824962</v>
      </c>
      <c r="S36" s="95">
        <f t="shared" si="6"/>
        <v>0.98986650724840697</v>
      </c>
      <c r="T36" s="96">
        <f t="shared" si="7"/>
        <v>60.099071555555561</v>
      </c>
      <c r="U36" s="97"/>
      <c r="V36" s="97">
        <f t="shared" si="11"/>
        <v>51.574021443413592</v>
      </c>
      <c r="W36" s="96">
        <f t="shared" si="12"/>
        <v>59.490058049569868</v>
      </c>
      <c r="X36" s="96">
        <f t="shared" si="15"/>
        <v>0.84133736899388512</v>
      </c>
      <c r="Y36" s="96">
        <f t="shared" si="8"/>
        <v>1.5924561147764591</v>
      </c>
      <c r="Z36" s="96">
        <f t="shared" si="19"/>
        <v>62.700053654263279</v>
      </c>
      <c r="AA36" s="97">
        <f t="shared" si="18"/>
        <v>343.85994634573683</v>
      </c>
      <c r="AB36" s="97">
        <f t="shared" si="16"/>
        <v>343.85994634573683</v>
      </c>
      <c r="AC36" s="97">
        <f t="shared" si="17"/>
        <v>485.78759840064492</v>
      </c>
      <c r="AD36" s="96"/>
      <c r="AE36" s="105">
        <f t="shared" si="9"/>
        <v>2.7000536542632787</v>
      </c>
      <c r="AF36" s="93"/>
    </row>
    <row r="37" spans="1:32" x14ac:dyDescent="0.35">
      <c r="E37" s="100">
        <f t="shared" si="13"/>
        <v>1.0243055555555594</v>
      </c>
      <c r="F37" s="5">
        <v>20</v>
      </c>
      <c r="G37" s="5">
        <f t="shared" si="14"/>
        <v>140</v>
      </c>
      <c r="H37" s="106">
        <f t="shared" si="20"/>
        <v>3.8194444444444443E-3</v>
      </c>
      <c r="I37" s="110">
        <f t="shared" si="10"/>
        <v>1.7687499999999998E-2</v>
      </c>
      <c r="J37" s="5">
        <v>1.05</v>
      </c>
      <c r="K37" s="5">
        <v>0</v>
      </c>
      <c r="L37" s="5">
        <v>0</v>
      </c>
      <c r="N37" s="5">
        <f t="shared" si="2"/>
        <v>140</v>
      </c>
      <c r="O37" s="97">
        <f t="shared" si="3"/>
        <v>181.81818181818184</v>
      </c>
      <c r="P37" s="5">
        <f t="shared" si="4"/>
        <v>1</v>
      </c>
      <c r="R37" s="96">
        <f t="shared" si="5"/>
        <v>4.0522445419824962</v>
      </c>
      <c r="S37" s="95">
        <f t="shared" si="6"/>
        <v>0.98960242973356283</v>
      </c>
      <c r="T37" s="96">
        <f t="shared" si="7"/>
        <v>60.099071555555561</v>
      </c>
      <c r="U37" s="97"/>
      <c r="V37" s="97">
        <f t="shared" si="11"/>
        <v>51.574021443413592</v>
      </c>
      <c r="W37" s="96">
        <f t="shared" si="12"/>
        <v>59.474187236109039</v>
      </c>
      <c r="X37" s="96">
        <f t="shared" si="15"/>
        <v>0.84016229807093912</v>
      </c>
      <c r="Y37" s="96">
        <f t="shared" si="8"/>
        <v>1.5787952194913561</v>
      </c>
      <c r="Z37" s="96">
        <f t="shared" si="19"/>
        <v>64.27884887375464</v>
      </c>
      <c r="AA37" s="97">
        <f t="shared" si="18"/>
        <v>342.28115112624545</v>
      </c>
      <c r="AB37" s="97">
        <f t="shared" si="16"/>
        <v>342.28115112624545</v>
      </c>
      <c r="AC37" s="97">
        <f t="shared" si="17"/>
        <v>500.0022703022006</v>
      </c>
      <c r="AD37" s="96"/>
      <c r="AE37" s="105">
        <f t="shared" si="9"/>
        <v>4.2788488737546402</v>
      </c>
      <c r="AF37" s="93"/>
    </row>
    <row r="38" spans="1:32" x14ac:dyDescent="0.35">
      <c r="E38" s="100">
        <f t="shared" si="13"/>
        <v>1.0250000000000039</v>
      </c>
      <c r="F38" s="5">
        <v>20</v>
      </c>
      <c r="G38" s="5">
        <f t="shared" si="14"/>
        <v>140</v>
      </c>
      <c r="H38" s="106">
        <f t="shared" si="20"/>
        <v>3.8194444444444443E-3</v>
      </c>
      <c r="I38" s="110">
        <f t="shared" si="10"/>
        <v>1.7687499999999998E-2</v>
      </c>
      <c r="J38" s="5">
        <v>1.05</v>
      </c>
      <c r="K38" s="5">
        <v>0</v>
      </c>
      <c r="L38" s="5">
        <v>0</v>
      </c>
      <c r="N38" s="5">
        <f t="shared" si="2"/>
        <v>140</v>
      </c>
      <c r="O38" s="97">
        <f t="shared" si="3"/>
        <v>181.81818181818184</v>
      </c>
      <c r="P38" s="5">
        <f t="shared" si="4"/>
        <v>1</v>
      </c>
      <c r="R38" s="96">
        <f t="shared" si="5"/>
        <v>4.0522445419824962</v>
      </c>
      <c r="S38" s="95">
        <f t="shared" si="6"/>
        <v>0.98934061760942194</v>
      </c>
      <c r="T38" s="96">
        <f t="shared" si="7"/>
        <v>60.099071555555561</v>
      </c>
      <c r="U38" s="97"/>
      <c r="V38" s="97">
        <f t="shared" si="11"/>
        <v>51.574021443413592</v>
      </c>
      <c r="W38" s="96">
        <f t="shared" si="12"/>
        <v>59.458452570526184</v>
      </c>
      <c r="X38" s="96">
        <f t="shared" si="15"/>
        <v>0.8389973075016568</v>
      </c>
      <c r="Y38" s="96">
        <f t="shared" si="8"/>
        <v>1.56525848778752</v>
      </c>
      <c r="Z38" s="96">
        <f t="shared" si="19"/>
        <v>65.844107361542157</v>
      </c>
      <c r="AA38" s="97">
        <f t="shared" si="18"/>
        <v>340.71589263845794</v>
      </c>
      <c r="AB38" s="97">
        <f t="shared" si="16"/>
        <v>340.71589263845794</v>
      </c>
      <c r="AC38" s="97">
        <f t="shared" si="17"/>
        <v>514.21318152842582</v>
      </c>
      <c r="AD38" s="96"/>
      <c r="AE38" s="105">
        <f t="shared" si="9"/>
        <v>5.8441073615421573</v>
      </c>
      <c r="AF38" s="93"/>
    </row>
    <row r="39" spans="1:32" x14ac:dyDescent="0.35">
      <c r="E39" s="100">
        <f t="shared" si="13"/>
        <v>1.0256944444444485</v>
      </c>
      <c r="F39" s="5">
        <v>20</v>
      </c>
      <c r="G39" s="5">
        <f t="shared" si="14"/>
        <v>140</v>
      </c>
      <c r="H39" s="106">
        <f t="shared" si="20"/>
        <v>3.8194444444444443E-3</v>
      </c>
      <c r="I39" s="110">
        <f t="shared" si="10"/>
        <v>1.7687499999999998E-2</v>
      </c>
      <c r="J39" s="5">
        <v>1.05</v>
      </c>
      <c r="K39" s="5">
        <v>0</v>
      </c>
      <c r="L39" s="5">
        <v>0</v>
      </c>
      <c r="N39" s="5">
        <f t="shared" si="2"/>
        <v>140</v>
      </c>
      <c r="O39" s="97">
        <f t="shared" si="3"/>
        <v>181.81818181818184</v>
      </c>
      <c r="P39" s="5">
        <f t="shared" si="4"/>
        <v>1</v>
      </c>
      <c r="R39" s="96">
        <f t="shared" si="5"/>
        <v>4.0522445419824962</v>
      </c>
      <c r="S39" s="95">
        <f t="shared" si="6"/>
        <v>0.98908105028589699</v>
      </c>
      <c r="T39" s="96">
        <f t="shared" si="7"/>
        <v>60.099071555555561</v>
      </c>
      <c r="U39" s="97"/>
      <c r="V39" s="97">
        <f t="shared" si="11"/>
        <v>51.574021443413592</v>
      </c>
      <c r="W39" s="96">
        <f t="shared" si="12"/>
        <v>59.44285281537617</v>
      </c>
      <c r="X39" s="96">
        <f t="shared" si="15"/>
        <v>0.83784230566592222</v>
      </c>
      <c r="Y39" s="96">
        <f t="shared" si="8"/>
        <v>1.5518446756499071</v>
      </c>
      <c r="Z39" s="96">
        <f t="shared" si="19"/>
        <v>67.39595203719206</v>
      </c>
      <c r="AA39" s="97">
        <f t="shared" si="18"/>
        <v>339.16404796280801</v>
      </c>
      <c r="AB39" s="97">
        <f t="shared" si="16"/>
        <v>339.16404796280801</v>
      </c>
      <c r="AC39" s="97">
        <f t="shared" si="17"/>
        <v>528.42036432368786</v>
      </c>
      <c r="AD39" s="96"/>
      <c r="AE39" s="105">
        <f t="shared" si="9"/>
        <v>7.3959520371920604</v>
      </c>
      <c r="AF39" s="93"/>
    </row>
    <row r="40" spans="1:32" x14ac:dyDescent="0.35">
      <c r="E40" s="100">
        <f t="shared" si="13"/>
        <v>1.026388888888893</v>
      </c>
      <c r="F40" s="5">
        <v>20</v>
      </c>
      <c r="G40" s="5">
        <f t="shared" si="14"/>
        <v>140</v>
      </c>
      <c r="H40" s="106">
        <f t="shared" si="20"/>
        <v>3.8194444444444443E-3</v>
      </c>
      <c r="I40" s="110">
        <f t="shared" si="10"/>
        <v>1.7687499999999998E-2</v>
      </c>
      <c r="J40" s="5">
        <v>1.05</v>
      </c>
      <c r="K40" s="5">
        <v>0</v>
      </c>
      <c r="L40" s="5">
        <v>0</v>
      </c>
      <c r="N40" s="5">
        <f t="shared" si="2"/>
        <v>140</v>
      </c>
      <c r="O40" s="97">
        <f t="shared" si="3"/>
        <v>181.81818181818184</v>
      </c>
      <c r="P40" s="5">
        <f t="shared" si="4"/>
        <v>1</v>
      </c>
      <c r="R40" s="96">
        <f t="shared" si="5"/>
        <v>4.0522445419824962</v>
      </c>
      <c r="S40" s="95">
        <f t="shared" si="6"/>
        <v>0.98882370737919645</v>
      </c>
      <c r="T40" s="96">
        <f t="shared" si="7"/>
        <v>60.099071555555561</v>
      </c>
      <c r="U40" s="97"/>
      <c r="V40" s="97">
        <f t="shared" si="11"/>
        <v>51.574021443413592</v>
      </c>
      <c r="W40" s="96">
        <f t="shared" si="12"/>
        <v>59.427386745612061</v>
      </c>
      <c r="X40" s="96">
        <f t="shared" si="15"/>
        <v>0.83669720186157603</v>
      </c>
      <c r="Y40" s="96">
        <f t="shared" si="8"/>
        <v>1.5385525534225157</v>
      </c>
      <c r="Z40" s="96">
        <f t="shared" si="19"/>
        <v>68.93450459061458</v>
      </c>
      <c r="AA40" s="97">
        <f t="shared" si="18"/>
        <v>337.62549540938551</v>
      </c>
      <c r="AB40" s="97">
        <f t="shared" si="16"/>
        <v>337.62549540938551</v>
      </c>
      <c r="AC40" s="97">
        <f t="shared" si="17"/>
        <v>542.62385063956071</v>
      </c>
      <c r="AD40" s="96"/>
      <c r="AE40" s="105">
        <f t="shared" si="9"/>
        <v>8.9345045906145799</v>
      </c>
      <c r="AF40" s="93"/>
    </row>
    <row r="41" spans="1:32" x14ac:dyDescent="0.35">
      <c r="E41" s="100">
        <f t="shared" si="13"/>
        <v>1.0270833333333376</v>
      </c>
      <c r="F41" s="5">
        <v>20</v>
      </c>
      <c r="G41" s="5">
        <f t="shared" si="14"/>
        <v>140</v>
      </c>
      <c r="H41" s="106">
        <f t="shared" si="20"/>
        <v>3.8194444444444443E-3</v>
      </c>
      <c r="I41" s="110">
        <f t="shared" si="10"/>
        <v>1.7687499999999998E-2</v>
      </c>
      <c r="J41" s="5">
        <v>1.05</v>
      </c>
      <c r="K41" s="5">
        <v>0</v>
      </c>
      <c r="L41" s="5">
        <v>0</v>
      </c>
      <c r="N41" s="5">
        <f t="shared" si="2"/>
        <v>140</v>
      </c>
      <c r="O41" s="97">
        <f t="shared" si="3"/>
        <v>181.81818181818184</v>
      </c>
      <c r="P41" s="5">
        <f t="shared" si="4"/>
        <v>1</v>
      </c>
      <c r="R41" s="96">
        <f t="shared" si="5"/>
        <v>4.0522445419824962</v>
      </c>
      <c r="S41" s="95">
        <f t="shared" si="6"/>
        <v>0.98856856870944287</v>
      </c>
      <c r="T41" s="96">
        <f t="shared" si="7"/>
        <v>60.099071555555561</v>
      </c>
      <c r="U41" s="97"/>
      <c r="V41" s="97">
        <f t="shared" si="11"/>
        <v>51.574021443413592</v>
      </c>
      <c r="W41" s="96">
        <f t="shared" si="12"/>
        <v>59.412053148441949</v>
      </c>
      <c r="X41" s="96">
        <f t="shared" si="15"/>
        <v>0.83556190629382032</v>
      </c>
      <c r="Y41" s="96">
        <f t="shared" si="8"/>
        <v>1.5253809056122278</v>
      </c>
      <c r="Z41" s="96">
        <f t="shared" si="19"/>
        <v>70.459885496226804</v>
      </c>
      <c r="AA41" s="97">
        <f t="shared" si="18"/>
        <v>336.10011450377328</v>
      </c>
      <c r="AB41" s="97">
        <f t="shared" si="16"/>
        <v>336.10011450377328</v>
      </c>
      <c r="AC41" s="97">
        <f t="shared" si="17"/>
        <v>556.82367213775433</v>
      </c>
      <c r="AD41" s="96"/>
      <c r="AE41" s="105">
        <f t="shared" si="9"/>
        <v>10.459885496226804</v>
      </c>
      <c r="AF41" s="93"/>
    </row>
    <row r="42" spans="1:32" x14ac:dyDescent="0.35">
      <c r="E42" s="100">
        <f t="shared" si="13"/>
        <v>1.0277777777777821</v>
      </c>
      <c r="F42" s="5">
        <v>20</v>
      </c>
      <c r="G42" s="5">
        <f t="shared" si="14"/>
        <v>140</v>
      </c>
      <c r="H42" s="106">
        <f t="shared" si="20"/>
        <v>3.8194444444444443E-3</v>
      </c>
      <c r="I42" s="110">
        <f t="shared" si="10"/>
        <v>1.7687499999999998E-2</v>
      </c>
      <c r="J42" s="5">
        <v>1.05</v>
      </c>
      <c r="K42" s="5">
        <v>0</v>
      </c>
      <c r="L42" s="5">
        <v>0</v>
      </c>
      <c r="N42" s="5">
        <f t="shared" si="2"/>
        <v>140</v>
      </c>
      <c r="O42" s="97">
        <f t="shared" si="3"/>
        <v>181.81818181818184</v>
      </c>
      <c r="P42" s="5">
        <f t="shared" si="4"/>
        <v>1</v>
      </c>
      <c r="R42" s="96">
        <f t="shared" si="5"/>
        <v>4.0522445419824962</v>
      </c>
      <c r="S42" s="95">
        <f t="shared" si="6"/>
        <v>0.98831561429832482</v>
      </c>
      <c r="T42" s="96">
        <f t="shared" si="7"/>
        <v>60.099071555555561</v>
      </c>
      <c r="U42" s="97"/>
      <c r="V42" s="97">
        <f t="shared" si="11"/>
        <v>51.574021443413592</v>
      </c>
      <c r="W42" s="96">
        <f t="shared" si="12"/>
        <v>59.396850823187876</v>
      </c>
      <c r="X42" s="96">
        <f t="shared" si="15"/>
        <v>0.8344363300647677</v>
      </c>
      <c r="Y42" s="96">
        <f t="shared" si="8"/>
        <v>1.5123285306958061</v>
      </c>
      <c r="Z42" s="96">
        <f t="shared" si="19"/>
        <v>71.972214026922614</v>
      </c>
      <c r="AA42" s="97">
        <f t="shared" si="18"/>
        <v>334.58778597307747</v>
      </c>
      <c r="AB42" s="97">
        <f t="shared" si="16"/>
        <v>364.58778597307747</v>
      </c>
      <c r="AC42" s="97">
        <f t="shared" si="17"/>
        <v>571.01986019300955</v>
      </c>
      <c r="AD42" s="96"/>
      <c r="AE42" s="105">
        <f t="shared" si="9"/>
        <v>11.972214026922614</v>
      </c>
      <c r="AF42" s="93"/>
    </row>
    <row r="43" spans="1:32" x14ac:dyDescent="0.35">
      <c r="E43" s="100">
        <f t="shared" si="13"/>
        <v>1.0284722222222267</v>
      </c>
      <c r="F43" s="5">
        <v>20</v>
      </c>
      <c r="G43" s="5">
        <f t="shared" si="14"/>
        <v>140</v>
      </c>
      <c r="H43" s="106">
        <f t="shared" si="20"/>
        <v>3.8194444444444443E-3</v>
      </c>
      <c r="I43" s="110">
        <f t="shared" si="10"/>
        <v>1.7687499999999998E-2</v>
      </c>
      <c r="J43" s="5">
        <v>1.05</v>
      </c>
      <c r="K43" s="5">
        <v>0</v>
      </c>
      <c r="L43" s="5">
        <v>0</v>
      </c>
      <c r="N43" s="5">
        <f t="shared" si="2"/>
        <v>140</v>
      </c>
      <c r="O43" s="97">
        <f t="shared" si="3"/>
        <v>181.81818181818184</v>
      </c>
      <c r="P43" s="5">
        <f t="shared" si="4"/>
        <v>1</v>
      </c>
      <c r="R43" s="96">
        <f t="shared" si="5"/>
        <v>4.0522445419824962</v>
      </c>
      <c r="S43" s="95">
        <f t="shared" si="6"/>
        <v>0.99303973411268065</v>
      </c>
      <c r="T43" s="96">
        <f t="shared" si="7"/>
        <v>60.099071555555561</v>
      </c>
      <c r="U43" s="97"/>
      <c r="V43" s="97">
        <f t="shared" si="11"/>
        <v>51.574021443413592</v>
      </c>
      <c r="W43" s="96">
        <f t="shared" si="12"/>
        <v>59.680766037947862</v>
      </c>
      <c r="X43" s="96">
        <f t="shared" si="15"/>
        <v>0.85545733911826838</v>
      </c>
      <c r="Y43" s="96">
        <f t="shared" si="8"/>
        <v>1.7571615690907763</v>
      </c>
      <c r="Z43" s="96">
        <f t="shared" si="19"/>
        <v>73.729375596013398</v>
      </c>
      <c r="AA43" s="97">
        <f t="shared" si="18"/>
        <v>332.83062440398669</v>
      </c>
      <c r="AB43" s="97">
        <f t="shared" si="16"/>
        <v>362.83062440398669</v>
      </c>
      <c r="AC43" s="97">
        <f t="shared" si="17"/>
        <v>585.28390561316917</v>
      </c>
      <c r="AD43" s="96"/>
      <c r="AE43" s="105">
        <f t="shared" si="9"/>
        <v>13.729375596013398</v>
      </c>
    </row>
    <row r="44" spans="1:32" x14ac:dyDescent="0.35">
      <c r="E44" s="100">
        <f t="shared" si="13"/>
        <v>1.0291666666666712</v>
      </c>
      <c r="F44" s="5">
        <v>20</v>
      </c>
      <c r="G44" s="5">
        <f t="shared" si="14"/>
        <v>140</v>
      </c>
      <c r="H44" s="106">
        <f t="shared" si="20"/>
        <v>3.8194444444444443E-3</v>
      </c>
      <c r="I44" s="110">
        <f t="shared" si="10"/>
        <v>1.7687499999999998E-2</v>
      </c>
      <c r="J44" s="5">
        <v>1.05</v>
      </c>
      <c r="K44" s="5">
        <v>0</v>
      </c>
      <c r="L44" s="5">
        <v>0</v>
      </c>
      <c r="N44" s="5">
        <f t="shared" si="2"/>
        <v>140</v>
      </c>
      <c r="O44" s="97">
        <f t="shared" si="3"/>
        <v>181.81818181818184</v>
      </c>
      <c r="P44" s="5">
        <f t="shared" si="4"/>
        <v>1</v>
      </c>
      <c r="R44" s="96">
        <f t="shared" si="5"/>
        <v>4.0522445419824962</v>
      </c>
      <c r="S44" s="95">
        <f t="shared" si="6"/>
        <v>0.99274834343884077</v>
      </c>
      <c r="T44" s="96">
        <f t="shared" si="7"/>
        <v>60.099071555555561</v>
      </c>
      <c r="U44" s="97"/>
      <c r="V44" s="97">
        <f t="shared" si="11"/>
        <v>51.574021443413592</v>
      </c>
      <c r="W44" s="96">
        <f t="shared" si="12"/>
        <v>59.663253728990142</v>
      </c>
      <c r="X44" s="96">
        <f t="shared" si="15"/>
        <v>0.85416073229337852</v>
      </c>
      <c r="Y44" s="96">
        <f t="shared" si="8"/>
        <v>1.7419944859596155</v>
      </c>
      <c r="Z44" s="96">
        <f t="shared" si="19"/>
        <v>75.471370081973006</v>
      </c>
      <c r="AA44" s="97">
        <f t="shared" si="18"/>
        <v>331.0886299180271</v>
      </c>
      <c r="AB44" s="97">
        <f t="shared" si="16"/>
        <v>361.0886299180271</v>
      </c>
      <c r="AC44" s="97">
        <f t="shared" si="17"/>
        <v>599.54376549103483</v>
      </c>
      <c r="AD44" s="96"/>
      <c r="AE44" s="105">
        <f t="shared" si="9"/>
        <v>15.471370081973006</v>
      </c>
    </row>
    <row r="45" spans="1:32" x14ac:dyDescent="0.35">
      <c r="E45" s="100">
        <f t="shared" si="13"/>
        <v>1.0298611111111158</v>
      </c>
      <c r="F45" s="5">
        <v>20</v>
      </c>
      <c r="G45" s="5">
        <f t="shared" si="14"/>
        <v>140</v>
      </c>
      <c r="H45" s="106">
        <f t="shared" si="20"/>
        <v>3.8194444444444443E-3</v>
      </c>
      <c r="I45" s="110">
        <f t="shared" si="10"/>
        <v>1.7687499999999998E-2</v>
      </c>
      <c r="J45" s="5">
        <v>1.05</v>
      </c>
      <c r="K45" s="5">
        <v>0</v>
      </c>
      <c r="L45" s="5">
        <v>0</v>
      </c>
      <c r="N45" s="5">
        <f t="shared" si="2"/>
        <v>140</v>
      </c>
      <c r="O45" s="97">
        <f t="shared" si="3"/>
        <v>181.81818181818184</v>
      </c>
      <c r="P45" s="5">
        <f t="shared" si="4"/>
        <v>1</v>
      </c>
      <c r="R45" s="96">
        <f t="shared" si="5"/>
        <v>4.0522445419824962</v>
      </c>
      <c r="S45" s="95">
        <f t="shared" si="6"/>
        <v>0.99245946792732398</v>
      </c>
      <c r="T45" s="96">
        <f t="shared" si="7"/>
        <v>60.099071555555561</v>
      </c>
      <c r="U45" s="97"/>
      <c r="V45" s="97">
        <f t="shared" si="11"/>
        <v>51.574021443413592</v>
      </c>
      <c r="W45" s="96">
        <f t="shared" si="12"/>
        <v>59.645892578952846</v>
      </c>
      <c r="X45" s="96">
        <f t="shared" si="15"/>
        <v>0.85287531723585219</v>
      </c>
      <c r="Y45" s="96">
        <f t="shared" si="8"/>
        <v>1.726966808678595</v>
      </c>
      <c r="Z45" s="96">
        <f t="shared" si="19"/>
        <v>77.198336890651603</v>
      </c>
      <c r="AA45" s="97">
        <f t="shared" si="18"/>
        <v>329.36166310934851</v>
      </c>
      <c r="AB45" s="97">
        <f t="shared" si="16"/>
        <v>359.36166310934851</v>
      </c>
      <c r="AC45" s="97">
        <f t="shared" si="17"/>
        <v>613.79947595445572</v>
      </c>
      <c r="AD45" s="96"/>
      <c r="AE45" s="105">
        <f t="shared" si="9"/>
        <v>17.198336890651603</v>
      </c>
    </row>
    <row r="46" spans="1:32" x14ac:dyDescent="0.35">
      <c r="E46" s="100">
        <f t="shared" si="13"/>
        <v>1.0305555555555603</v>
      </c>
      <c r="F46" s="5">
        <v>20</v>
      </c>
      <c r="G46" s="5">
        <f t="shared" si="14"/>
        <v>140</v>
      </c>
      <c r="H46" s="106">
        <f t="shared" si="20"/>
        <v>3.8194444444444443E-3</v>
      </c>
      <c r="I46" s="110">
        <f t="shared" si="10"/>
        <v>1.7687499999999998E-2</v>
      </c>
      <c r="J46" s="5">
        <v>1.05</v>
      </c>
      <c r="K46" s="5">
        <v>0</v>
      </c>
      <c r="L46" s="5">
        <v>0</v>
      </c>
      <c r="N46" s="5">
        <f t="shared" si="2"/>
        <v>140</v>
      </c>
      <c r="O46" s="97">
        <f t="shared" si="3"/>
        <v>181.81818181818184</v>
      </c>
      <c r="P46" s="5">
        <f t="shared" si="4"/>
        <v>1</v>
      </c>
      <c r="R46" s="96">
        <f t="shared" si="5"/>
        <v>4.0522445419824962</v>
      </c>
      <c r="S46" s="95">
        <f t="shared" si="6"/>
        <v>0.99217308446041252</v>
      </c>
      <c r="T46" s="96">
        <f t="shared" si="7"/>
        <v>60.099071555555561</v>
      </c>
      <c r="U46" s="97"/>
      <c r="V46" s="97">
        <f t="shared" si="11"/>
        <v>51.574021443413592</v>
      </c>
      <c r="W46" s="96">
        <f t="shared" si="12"/>
        <v>59.628681198482603</v>
      </c>
      <c r="X46" s="96">
        <f t="shared" si="15"/>
        <v>0.85160099107832665</v>
      </c>
      <c r="Y46" s="96">
        <f t="shared" si="8"/>
        <v>1.7120771148453691</v>
      </c>
      <c r="Z46" s="96">
        <f t="shared" si="19"/>
        <v>78.910414005496975</v>
      </c>
      <c r="AA46" s="97">
        <f t="shared" si="18"/>
        <v>327.64958599450313</v>
      </c>
      <c r="AB46" s="97">
        <f t="shared" si="16"/>
        <v>357.64958599450313</v>
      </c>
      <c r="AC46" s="97">
        <f t="shared" si="17"/>
        <v>628.05107279921731</v>
      </c>
      <c r="AD46" s="96"/>
      <c r="AE46" s="105">
        <f t="shared" si="9"/>
        <v>18.910414005496975</v>
      </c>
    </row>
    <row r="47" spans="1:32" x14ac:dyDescent="0.35">
      <c r="E47" s="100">
        <f t="shared" si="13"/>
        <v>1.0312500000000049</v>
      </c>
      <c r="F47" s="5">
        <v>20</v>
      </c>
      <c r="G47" s="5">
        <f t="shared" si="14"/>
        <v>140</v>
      </c>
      <c r="H47" s="106">
        <f t="shared" si="20"/>
        <v>3.8194444444444443E-3</v>
      </c>
      <c r="I47" s="110">
        <f t="shared" si="10"/>
        <v>1.7687499999999998E-2</v>
      </c>
      <c r="J47" s="5">
        <v>1.05</v>
      </c>
      <c r="K47" s="5">
        <v>0</v>
      </c>
      <c r="L47" s="5">
        <v>0</v>
      </c>
      <c r="N47" s="5">
        <f t="shared" si="2"/>
        <v>140</v>
      </c>
      <c r="O47" s="97">
        <f t="shared" si="3"/>
        <v>181.81818181818184</v>
      </c>
      <c r="P47" s="5">
        <f t="shared" si="4"/>
        <v>1</v>
      </c>
      <c r="R47" s="96">
        <f t="shared" si="5"/>
        <v>4.0522445419824962</v>
      </c>
      <c r="S47" s="95">
        <f t="shared" si="6"/>
        <v>0.99188917015626665</v>
      </c>
      <c r="T47" s="96">
        <f t="shared" si="7"/>
        <v>60.099071555555561</v>
      </c>
      <c r="U47" s="97"/>
      <c r="V47" s="97">
        <f t="shared" si="11"/>
        <v>51.574021443413592</v>
      </c>
      <c r="W47" s="96">
        <f t="shared" si="12"/>
        <v>59.611618212402092</v>
      </c>
      <c r="X47" s="96">
        <f t="shared" si="15"/>
        <v>0.85033765200302758</v>
      </c>
      <c r="Y47" s="96">
        <f t="shared" si="8"/>
        <v>1.6973239988926987</v>
      </c>
      <c r="Z47" s="96">
        <f t="shared" si="19"/>
        <v>80.607738004389674</v>
      </c>
      <c r="AA47" s="97">
        <f t="shared" si="18"/>
        <v>325.95226199561046</v>
      </c>
      <c r="AB47" s="97">
        <f t="shared" si="16"/>
        <v>355.95226199561046</v>
      </c>
      <c r="AC47" s="97">
        <f t="shared" si="17"/>
        <v>642.29859149243009</v>
      </c>
      <c r="AD47" s="96"/>
      <c r="AE47" s="105">
        <f t="shared" si="9"/>
        <v>20.607738004389674</v>
      </c>
    </row>
    <row r="48" spans="1:32" x14ac:dyDescent="0.35">
      <c r="E48" s="100">
        <f t="shared" si="13"/>
        <v>1.0319444444444494</v>
      </c>
      <c r="F48" s="5">
        <v>20</v>
      </c>
      <c r="G48" s="5">
        <f t="shared" si="14"/>
        <v>140</v>
      </c>
      <c r="H48" s="106">
        <f t="shared" si="20"/>
        <v>3.8194444444444443E-3</v>
      </c>
      <c r="I48" s="110">
        <f t="shared" si="10"/>
        <v>1.7687499999999998E-2</v>
      </c>
      <c r="J48" s="5">
        <v>1.05</v>
      </c>
      <c r="K48" s="5">
        <v>0</v>
      </c>
      <c r="L48" s="5">
        <v>0</v>
      </c>
      <c r="N48" s="5">
        <f t="shared" si="2"/>
        <v>140</v>
      </c>
      <c r="O48" s="97">
        <f t="shared" si="3"/>
        <v>181.81818181818184</v>
      </c>
      <c r="P48" s="5">
        <f t="shared" si="4"/>
        <v>1</v>
      </c>
      <c r="R48" s="96">
        <f t="shared" si="5"/>
        <v>4.0522445419824962</v>
      </c>
      <c r="S48" s="95">
        <f t="shared" si="6"/>
        <v>0.99160770236613183</v>
      </c>
      <c r="T48" s="96">
        <f t="shared" si="7"/>
        <v>60.099071555555561</v>
      </c>
      <c r="U48" s="97"/>
      <c r="V48" s="97">
        <f t="shared" si="11"/>
        <v>51.574021443413592</v>
      </c>
      <c r="W48" s="96">
        <f t="shared" si="12"/>
        <v>59.594702259542196</v>
      </c>
      <c r="X48" s="96">
        <f t="shared" si="15"/>
        <v>0.84908519922934644</v>
      </c>
      <c r="Y48" s="96">
        <f t="shared" si="8"/>
        <v>1.6827060718517866</v>
      </c>
      <c r="Z48" s="96">
        <f t="shared" si="19"/>
        <v>82.290444076241457</v>
      </c>
      <c r="AA48" s="97">
        <f t="shared" si="18"/>
        <v>324.26955592375867</v>
      </c>
      <c r="AB48" s="97">
        <f t="shared" si="16"/>
        <v>354.26955592375867</v>
      </c>
      <c r="AC48" s="97">
        <f t="shared" si="17"/>
        <v>656.54206717587704</v>
      </c>
      <c r="AD48" s="96"/>
      <c r="AE48" s="105">
        <f t="shared" si="9"/>
        <v>22.290444076241457</v>
      </c>
    </row>
    <row r="49" spans="5:31" x14ac:dyDescent="0.35">
      <c r="E49" s="100">
        <f t="shared" si="13"/>
        <v>1.032638888888894</v>
      </c>
      <c r="F49" s="5">
        <v>20</v>
      </c>
      <c r="G49" s="5">
        <f t="shared" si="14"/>
        <v>140</v>
      </c>
      <c r="H49" s="106">
        <f t="shared" si="20"/>
        <v>3.8194444444444443E-3</v>
      </c>
      <c r="I49" s="110">
        <f t="shared" si="10"/>
        <v>1.7687499999999998E-2</v>
      </c>
      <c r="J49" s="5">
        <v>1.05</v>
      </c>
      <c r="K49" s="5">
        <v>0</v>
      </c>
      <c r="L49" s="5">
        <v>0</v>
      </c>
      <c r="N49" s="5">
        <f t="shared" si="2"/>
        <v>140</v>
      </c>
      <c r="O49" s="97">
        <f t="shared" si="3"/>
        <v>181.81818181818184</v>
      </c>
      <c r="P49" s="5">
        <f t="shared" si="4"/>
        <v>1</v>
      </c>
      <c r="R49" s="96">
        <f t="shared" si="5"/>
        <v>4.0522445419824962</v>
      </c>
      <c r="S49" s="95">
        <f t="shared" si="6"/>
        <v>0.99132865867158715</v>
      </c>
      <c r="T49" s="96">
        <f t="shared" si="7"/>
        <v>60.099071555555561</v>
      </c>
      <c r="U49" s="97"/>
      <c r="V49" s="97">
        <f t="shared" si="11"/>
        <v>51.574021443413592</v>
      </c>
      <c r="W49" s="96">
        <f t="shared" si="12"/>
        <v>59.57793199257663</v>
      </c>
      <c r="X49" s="96">
        <f t="shared" si="15"/>
        <v>0.84784353300159276</v>
      </c>
      <c r="Y49" s="96">
        <f t="shared" si="8"/>
        <v>1.6682219611195368</v>
      </c>
      <c r="Z49" s="96">
        <f t="shared" si="19"/>
        <v>83.958666037360999</v>
      </c>
      <c r="AA49" s="97">
        <f t="shared" si="18"/>
        <v>322.60133396263916</v>
      </c>
      <c r="AB49" s="97">
        <f t="shared" si="16"/>
        <v>352.60133396263916</v>
      </c>
      <c r="AC49" s="97">
        <f t="shared" si="17"/>
        <v>670.7815346693227</v>
      </c>
      <c r="AD49" s="96"/>
      <c r="AE49" s="105">
        <f t="shared" si="9"/>
        <v>23.958666037360999</v>
      </c>
    </row>
    <row r="50" spans="5:31" x14ac:dyDescent="0.35">
      <c r="E50" s="100">
        <f t="shared" si="13"/>
        <v>1.0333333333333385</v>
      </c>
      <c r="F50" s="5">
        <v>20</v>
      </c>
      <c r="G50" s="5">
        <f t="shared" si="14"/>
        <v>140</v>
      </c>
      <c r="H50" s="106">
        <f t="shared" si="20"/>
        <v>3.8194444444444443E-3</v>
      </c>
      <c r="I50" s="110">
        <f t="shared" si="10"/>
        <v>1.7687499999999998E-2</v>
      </c>
      <c r="J50" s="5">
        <v>1.05</v>
      </c>
      <c r="K50" s="5">
        <v>0</v>
      </c>
      <c r="L50" s="5">
        <v>0</v>
      </c>
      <c r="N50" s="5">
        <f t="shared" si="2"/>
        <v>140</v>
      </c>
      <c r="O50" s="97">
        <f t="shared" si="3"/>
        <v>181.81818181818184</v>
      </c>
      <c r="P50" s="5">
        <f t="shared" si="4"/>
        <v>1</v>
      </c>
      <c r="R50" s="96">
        <f t="shared" si="5"/>
        <v>4.0522445419824962</v>
      </c>
      <c r="S50" s="95">
        <f t="shared" si="6"/>
        <v>0.99105201688183031</v>
      </c>
      <c r="T50" s="96">
        <f t="shared" si="7"/>
        <v>60.099071555555561</v>
      </c>
      <c r="U50" s="97"/>
      <c r="V50" s="97">
        <f t="shared" si="11"/>
        <v>51.574021443413592</v>
      </c>
      <c r="W50" s="96">
        <f t="shared" si="12"/>
        <v>59.561306077858781</v>
      </c>
      <c r="X50" s="96">
        <f t="shared" si="15"/>
        <v>0.84661255457691775</v>
      </c>
      <c r="Y50" s="96">
        <f t="shared" si="8"/>
        <v>1.6538703102296544</v>
      </c>
      <c r="Z50" s="96">
        <f t="shared" si="19"/>
        <v>85.612536347590648</v>
      </c>
      <c r="AA50" s="97">
        <f t="shared" si="18"/>
        <v>320.94746365240951</v>
      </c>
      <c r="AB50" s="97">
        <f t="shared" si="16"/>
        <v>350.94746365240951</v>
      </c>
      <c r="AC50" s="97">
        <f t="shared" si="17"/>
        <v>685.01702847378226</v>
      </c>
      <c r="AD50" s="96"/>
      <c r="AE50" s="105">
        <f t="shared" si="9"/>
        <v>25.612536347590648</v>
      </c>
    </row>
    <row r="51" spans="5:31" x14ac:dyDescent="0.35">
      <c r="E51" s="100">
        <f t="shared" si="13"/>
        <v>1.0340277777777831</v>
      </c>
      <c r="F51" s="5">
        <v>20</v>
      </c>
      <c r="G51" s="5">
        <f t="shared" si="14"/>
        <v>140</v>
      </c>
      <c r="H51" s="106">
        <f t="shared" si="20"/>
        <v>3.8194444444444443E-3</v>
      </c>
      <c r="I51" s="110">
        <f t="shared" si="10"/>
        <v>1.7687499999999998E-2</v>
      </c>
      <c r="J51" s="5">
        <v>1.05</v>
      </c>
      <c r="K51" s="5">
        <v>0</v>
      </c>
      <c r="L51" s="5">
        <v>0</v>
      </c>
      <c r="N51" s="5">
        <f t="shared" si="2"/>
        <v>140</v>
      </c>
      <c r="O51" s="97">
        <f t="shared" si="3"/>
        <v>181.81818181818184</v>
      </c>
      <c r="P51" s="5">
        <f t="shared" si="4"/>
        <v>1</v>
      </c>
      <c r="R51" s="96">
        <f t="shared" si="5"/>
        <v>4.0522445419824962</v>
      </c>
      <c r="S51" s="95">
        <f t="shared" si="6"/>
        <v>0.99077775503100307</v>
      </c>
      <c r="T51" s="96">
        <f t="shared" si="7"/>
        <v>60.099071555555561</v>
      </c>
      <c r="U51" s="97"/>
      <c r="V51" s="97">
        <f t="shared" si="11"/>
        <v>51.574021443413592</v>
      </c>
      <c r="W51" s="96">
        <f t="shared" si="12"/>
        <v>59.544823195260953</v>
      </c>
      <c r="X51" s="96">
        <f t="shared" si="15"/>
        <v>0.84539216621340718</v>
      </c>
      <c r="Y51" s="96">
        <f t="shared" si="8"/>
        <v>1.6396497786275239</v>
      </c>
      <c r="Z51" s="96">
        <f t="shared" si="19"/>
        <v>87.252186126218177</v>
      </c>
      <c r="AA51" s="97">
        <f t="shared" si="18"/>
        <v>319.30781387378198</v>
      </c>
      <c r="AB51" s="97">
        <f t="shared" si="16"/>
        <v>349.30781387378198</v>
      </c>
      <c r="AC51" s="97">
        <f t="shared" si="17"/>
        <v>699.24858277475289</v>
      </c>
      <c r="AD51" s="96"/>
      <c r="AE51" s="105">
        <f t="shared" si="9"/>
        <v>27.252186126218177</v>
      </c>
    </row>
    <row r="52" spans="5:31" x14ac:dyDescent="0.35">
      <c r="E52" s="100">
        <f t="shared" si="13"/>
        <v>1.0347222222222276</v>
      </c>
      <c r="F52" s="5">
        <v>20</v>
      </c>
      <c r="G52" s="5">
        <f t="shared" si="14"/>
        <v>140</v>
      </c>
      <c r="H52" s="106">
        <f t="shared" si="20"/>
        <v>3.8194444444444443E-3</v>
      </c>
      <c r="I52" s="110">
        <f t="shared" si="10"/>
        <v>1.7687499999999998E-2</v>
      </c>
      <c r="J52" s="5">
        <v>1.05</v>
      </c>
      <c r="K52" s="5">
        <v>0</v>
      </c>
      <c r="L52" s="5">
        <v>0</v>
      </c>
      <c r="N52" s="5">
        <f t="shared" si="2"/>
        <v>140</v>
      </c>
      <c r="O52" s="97">
        <f t="shared" si="3"/>
        <v>181.81818181818184</v>
      </c>
      <c r="P52" s="5">
        <f t="shared" si="4"/>
        <v>1</v>
      </c>
      <c r="R52" s="96">
        <f t="shared" si="5"/>
        <v>4.0522445419824962</v>
      </c>
      <c r="S52" s="95">
        <f t="shared" si="6"/>
        <v>0.99050585137555125</v>
      </c>
      <c r="T52" s="96">
        <f t="shared" si="7"/>
        <v>60.099071555555561</v>
      </c>
      <c r="U52" s="97"/>
      <c r="V52" s="97">
        <f t="shared" si="11"/>
        <v>51.574021443413592</v>
      </c>
      <c r="W52" s="96">
        <f t="shared" si="12"/>
        <v>59.528482038015738</v>
      </c>
      <c r="X52" s="96">
        <f t="shared" si="15"/>
        <v>0.84418227115833955</v>
      </c>
      <c r="Y52" s="96">
        <f t="shared" si="8"/>
        <v>1.6255590414487751</v>
      </c>
      <c r="Z52" s="96">
        <f t="shared" si="19"/>
        <v>88.877745167666959</v>
      </c>
      <c r="AA52" s="97">
        <f t="shared" si="18"/>
        <v>317.68225483233323</v>
      </c>
      <c r="AB52" s="97">
        <f t="shared" si="16"/>
        <v>347.68225483233323</v>
      </c>
      <c r="AC52" s="97">
        <f t="shared" si="17"/>
        <v>713.47623144540671</v>
      </c>
      <c r="AD52" s="96"/>
      <c r="AE52" s="105">
        <f t="shared" si="9"/>
        <v>28.877745167666959</v>
      </c>
    </row>
    <row r="53" spans="5:31" x14ac:dyDescent="0.35">
      <c r="E53" s="100">
        <f t="shared" si="13"/>
        <v>1.0354166666666722</v>
      </c>
      <c r="F53" s="5">
        <v>20</v>
      </c>
      <c r="G53" s="5">
        <f t="shared" si="14"/>
        <v>140</v>
      </c>
      <c r="H53" s="106">
        <f t="shared" si="20"/>
        <v>3.8194444444444443E-3</v>
      </c>
      <c r="I53" s="110">
        <f t="shared" si="10"/>
        <v>1.7687499999999998E-2</v>
      </c>
      <c r="J53" s="5">
        <v>1.05</v>
      </c>
      <c r="K53" s="5">
        <v>0</v>
      </c>
      <c r="L53" s="5">
        <v>0</v>
      </c>
      <c r="N53" s="5">
        <f t="shared" si="2"/>
        <v>140</v>
      </c>
      <c r="O53" s="97">
        <f t="shared" si="3"/>
        <v>181.81818181818184</v>
      </c>
      <c r="P53" s="5">
        <f t="shared" si="4"/>
        <v>1</v>
      </c>
      <c r="R53" s="96">
        <f t="shared" si="5"/>
        <v>4.0522445419824962</v>
      </c>
      <c r="S53" s="95">
        <f t="shared" si="6"/>
        <v>0.99023628439162303</v>
      </c>
      <c r="T53" s="96">
        <f t="shared" si="7"/>
        <v>60.099071555555561</v>
      </c>
      <c r="U53" s="97"/>
      <c r="V53" s="97">
        <f t="shared" si="11"/>
        <v>51.574021443413592</v>
      </c>
      <c r="W53" s="96">
        <f t="shared" si="12"/>
        <v>59.512281312559622</v>
      </c>
      <c r="X53" s="96">
        <f t="shared" si="15"/>
        <v>0.84298277363660945</v>
      </c>
      <c r="Y53" s="96">
        <f t="shared" si="8"/>
        <v>1.6115967893015033</v>
      </c>
      <c r="Z53" s="96">
        <f t="shared" si="19"/>
        <v>90.48934195696846</v>
      </c>
      <c r="AA53" s="97">
        <f t="shared" si="18"/>
        <v>316.0706580430317</v>
      </c>
      <c r="AB53" s="97">
        <f t="shared" si="16"/>
        <v>346.0706580430317</v>
      </c>
      <c r="AC53" s="97">
        <f t="shared" si="17"/>
        <v>727.700008049747</v>
      </c>
      <c r="AD53" s="96"/>
      <c r="AE53" s="105">
        <f t="shared" si="9"/>
        <v>0.48934195696845961</v>
      </c>
    </row>
    <row r="54" spans="5:31" x14ac:dyDescent="0.35">
      <c r="E54" s="100">
        <f t="shared" si="13"/>
        <v>1.0361111111111168</v>
      </c>
      <c r="F54" s="5">
        <v>20</v>
      </c>
      <c r="G54" s="5">
        <f t="shared" si="14"/>
        <v>140</v>
      </c>
      <c r="H54" s="106">
        <f t="shared" si="20"/>
        <v>3.8194444444444443E-3</v>
      </c>
      <c r="I54" s="110">
        <f t="shared" si="10"/>
        <v>1.7687499999999998E-2</v>
      </c>
      <c r="J54" s="5">
        <v>1.05</v>
      </c>
      <c r="K54" s="5">
        <v>0</v>
      </c>
      <c r="L54" s="5">
        <v>0</v>
      </c>
      <c r="N54" s="5">
        <f t="shared" si="2"/>
        <v>140</v>
      </c>
      <c r="O54" s="97">
        <f t="shared" si="3"/>
        <v>181.81818181818184</v>
      </c>
      <c r="P54" s="5">
        <f t="shared" si="4"/>
        <v>1</v>
      </c>
      <c r="R54" s="96">
        <f t="shared" si="5"/>
        <v>4.0522445419824962</v>
      </c>
      <c r="S54" s="95">
        <f t="shared" si="6"/>
        <v>0.98996903277250448</v>
      </c>
      <c r="T54" s="96">
        <f t="shared" si="7"/>
        <v>60.099071555555561</v>
      </c>
      <c r="U54" s="97"/>
      <c r="V54" s="97">
        <f t="shared" si="11"/>
        <v>51.574021443413592</v>
      </c>
      <c r="W54" s="96">
        <f t="shared" si="12"/>
        <v>59.496219738378876</v>
      </c>
      <c r="X54" s="96">
        <f t="shared" si="15"/>
        <v>0.84179357883930894</v>
      </c>
      <c r="Y54" s="96">
        <f t="shared" si="8"/>
        <v>1.597761728052022</v>
      </c>
      <c r="Z54" s="96">
        <f t="shared" si="19"/>
        <v>92.08710368502048</v>
      </c>
      <c r="AA54" s="97">
        <f t="shared" si="18"/>
        <v>314.47289631497966</v>
      </c>
      <c r="AB54" s="97">
        <f t="shared" si="16"/>
        <v>344.47289631497966</v>
      </c>
      <c r="AC54" s="97">
        <f t="shared" si="17"/>
        <v>741.9199458457266</v>
      </c>
      <c r="AD54" s="96"/>
      <c r="AE54" s="105">
        <f t="shared" si="9"/>
        <v>2.0871036850204803</v>
      </c>
    </row>
    <row r="55" spans="5:31" x14ac:dyDescent="0.35">
      <c r="E55" s="100">
        <f t="shared" si="13"/>
        <v>1.0368055555555613</v>
      </c>
      <c r="F55" s="5">
        <v>20</v>
      </c>
      <c r="G55" s="5">
        <f t="shared" si="14"/>
        <v>140</v>
      </c>
      <c r="H55" s="106">
        <f t="shared" si="20"/>
        <v>3.8194444444444443E-3</v>
      </c>
      <c r="I55" s="110">
        <f t="shared" si="10"/>
        <v>1.7687499999999998E-2</v>
      </c>
      <c r="J55" s="5">
        <v>1.05</v>
      </c>
      <c r="K55" s="5">
        <v>0</v>
      </c>
      <c r="L55" s="5">
        <v>0</v>
      </c>
      <c r="N55" s="5">
        <f t="shared" si="2"/>
        <v>140</v>
      </c>
      <c r="O55" s="97">
        <f t="shared" si="3"/>
        <v>181.81818181818184</v>
      </c>
      <c r="P55" s="5">
        <f t="shared" si="4"/>
        <v>1</v>
      </c>
      <c r="R55" s="96">
        <f t="shared" si="5"/>
        <v>4.0522445419824962</v>
      </c>
      <c r="S55" s="95">
        <f t="shared" si="6"/>
        <v>0.9897040754260874</v>
      </c>
      <c r="T55" s="96">
        <f t="shared" si="7"/>
        <v>60.099071555555561</v>
      </c>
      <c r="U55" s="97"/>
      <c r="V55" s="97">
        <f t="shared" si="11"/>
        <v>51.574021443413592</v>
      </c>
      <c r="W55" s="96">
        <f t="shared" si="12"/>
        <v>59.480296047857387</v>
      </c>
      <c r="X55" s="96">
        <f t="shared" si="15"/>
        <v>0.84061459291247009</v>
      </c>
      <c r="Y55" s="96">
        <f t="shared" si="8"/>
        <v>1.5840525786141426</v>
      </c>
      <c r="Z55" s="96">
        <f t="shared" si="19"/>
        <v>93.671156263634629</v>
      </c>
      <c r="AA55" s="97">
        <f t="shared" si="18"/>
        <v>312.88884373636552</v>
      </c>
      <c r="AB55" s="97">
        <f t="shared" si="16"/>
        <v>342.88884373636552</v>
      </c>
      <c r="AC55" s="97">
        <f t="shared" si="17"/>
        <v>756.13607778833114</v>
      </c>
      <c r="AD55" s="96"/>
      <c r="AE55" s="105">
        <f t="shared" si="9"/>
        <v>3.6711562636346287</v>
      </c>
    </row>
    <row r="56" spans="5:31" x14ac:dyDescent="0.35">
      <c r="E56" s="100">
        <f t="shared" si="13"/>
        <v>1.0375000000000059</v>
      </c>
      <c r="F56" s="5">
        <v>20</v>
      </c>
      <c r="G56" s="5">
        <f t="shared" si="14"/>
        <v>140</v>
      </c>
      <c r="H56" s="106">
        <f t="shared" si="20"/>
        <v>3.8194444444444443E-3</v>
      </c>
      <c r="I56" s="110">
        <f t="shared" si="10"/>
        <v>1.7687499999999998E-2</v>
      </c>
      <c r="J56" s="5">
        <v>1.05</v>
      </c>
      <c r="K56" s="5">
        <v>0</v>
      </c>
      <c r="L56" s="5">
        <v>0</v>
      </c>
      <c r="N56" s="5">
        <f t="shared" si="2"/>
        <v>140</v>
      </c>
      <c r="O56" s="97">
        <f t="shared" si="3"/>
        <v>181.81818181818184</v>
      </c>
      <c r="P56" s="5">
        <f t="shared" si="4"/>
        <v>1</v>
      </c>
      <c r="R56" s="96">
        <f t="shared" si="5"/>
        <v>4.0522445419824962</v>
      </c>
      <c r="S56" s="95">
        <f t="shared" si="6"/>
        <v>0.98944139147237509</v>
      </c>
      <c r="T56" s="96">
        <f t="shared" si="7"/>
        <v>60.099071555555561</v>
      </c>
      <c r="U56" s="97"/>
      <c r="V56" s="97">
        <f t="shared" si="11"/>
        <v>51.574021443413592</v>
      </c>
      <c r="W56" s="96">
        <f t="shared" si="12"/>
        <v>59.464508986126731</v>
      </c>
      <c r="X56" s="96">
        <f t="shared" si="15"/>
        <v>0.83944572294596032</v>
      </c>
      <c r="Y56" s="96">
        <f t="shared" si="8"/>
        <v>1.5704680767418555</v>
      </c>
      <c r="Z56" s="96">
        <f t="shared" si="19"/>
        <v>95.241624340376489</v>
      </c>
      <c r="AA56" s="97">
        <f t="shared" si="18"/>
        <v>311.31837565962365</v>
      </c>
      <c r="AB56" s="97">
        <f t="shared" si="16"/>
        <v>341.31837565962365</v>
      </c>
      <c r="AC56" s="97">
        <f t="shared" si="17"/>
        <v>770.34843653262533</v>
      </c>
      <c r="AD56" s="96"/>
      <c r="AE56" s="105">
        <f t="shared" si="9"/>
        <v>5.2416243403764895</v>
      </c>
    </row>
    <row r="57" spans="5:31" x14ac:dyDescent="0.35">
      <c r="E57" s="100">
        <f t="shared" si="13"/>
        <v>1.0381944444444504</v>
      </c>
      <c r="F57" s="5">
        <v>20</v>
      </c>
      <c r="G57" s="5">
        <f t="shared" si="14"/>
        <v>140</v>
      </c>
      <c r="H57" s="106">
        <f t="shared" si="20"/>
        <v>3.8194444444444443E-3</v>
      </c>
      <c r="I57" s="110">
        <f t="shared" si="10"/>
        <v>1.7687499999999998E-2</v>
      </c>
      <c r="J57" s="5">
        <v>1.05</v>
      </c>
      <c r="K57" s="5">
        <v>0</v>
      </c>
      <c r="L57" s="5">
        <v>0</v>
      </c>
      <c r="N57" s="5">
        <f t="shared" si="2"/>
        <v>140</v>
      </c>
      <c r="O57" s="97">
        <f t="shared" si="3"/>
        <v>181.81818181818184</v>
      </c>
      <c r="P57" s="5">
        <f t="shared" si="4"/>
        <v>1</v>
      </c>
      <c r="R57" s="96">
        <f t="shared" si="5"/>
        <v>4.0522445419824962</v>
      </c>
      <c r="S57" s="95">
        <f t="shared" si="6"/>
        <v>0.98918096024102142</v>
      </c>
      <c r="T57" s="96">
        <f t="shared" si="7"/>
        <v>60.099071555555561</v>
      </c>
      <c r="U57" s="97"/>
      <c r="V57" s="97">
        <f t="shared" si="11"/>
        <v>51.574021443413592</v>
      </c>
      <c r="W57" s="96">
        <f t="shared" si="12"/>
        <v>59.448857310918306</v>
      </c>
      <c r="X57" s="96">
        <f t="shared" si="15"/>
        <v>0.83828687696253212</v>
      </c>
      <c r="Y57" s="96">
        <f t="shared" si="8"/>
        <v>1.5570069728253959</v>
      </c>
      <c r="Z57" s="96">
        <f t="shared" si="19"/>
        <v>96.798631313201881</v>
      </c>
      <c r="AA57" s="97">
        <f t="shared" si="18"/>
        <v>309.76136868679828</v>
      </c>
      <c r="AB57" s="97">
        <f t="shared" si="16"/>
        <v>339.76136868679828</v>
      </c>
      <c r="AC57" s="97">
        <f t="shared" si="17"/>
        <v>784.55705443676447</v>
      </c>
      <c r="AD57" s="96"/>
      <c r="AE57" s="105">
        <f t="shared" si="9"/>
        <v>6.7986313132018807</v>
      </c>
    </row>
    <row r="58" spans="5:31" x14ac:dyDescent="0.35">
      <c r="E58" s="100">
        <f t="shared" si="13"/>
        <v>1.038888888888895</v>
      </c>
      <c r="F58" s="5">
        <v>20</v>
      </c>
      <c r="G58" s="5">
        <f t="shared" si="14"/>
        <v>140</v>
      </c>
      <c r="H58" s="106">
        <f t="shared" si="20"/>
        <v>3.8194444444444443E-3</v>
      </c>
      <c r="I58" s="110">
        <f t="shared" si="10"/>
        <v>1.7687499999999998E-2</v>
      </c>
      <c r="J58" s="5">
        <v>1.05</v>
      </c>
      <c r="K58" s="5">
        <v>0</v>
      </c>
      <c r="L58" s="5">
        <v>0</v>
      </c>
      <c r="N58" s="5">
        <f t="shared" si="2"/>
        <v>140</v>
      </c>
      <c r="O58" s="97">
        <f t="shared" si="3"/>
        <v>181.81818181818184</v>
      </c>
      <c r="P58" s="5">
        <f t="shared" si="4"/>
        <v>1</v>
      </c>
      <c r="R58" s="96">
        <f t="shared" si="5"/>
        <v>4.0522445419824962</v>
      </c>
      <c r="S58" s="95">
        <f t="shared" si="6"/>
        <v>0.98892276126890333</v>
      </c>
      <c r="T58" s="96">
        <f t="shared" si="7"/>
        <v>60.099071555555561</v>
      </c>
      <c r="U58" s="97"/>
      <c r="V58" s="97">
        <f t="shared" si="11"/>
        <v>51.574021443413592</v>
      </c>
      <c r="W58" s="96">
        <f t="shared" si="12"/>
        <v>59.433339792417414</v>
      </c>
      <c r="X58" s="96">
        <f t="shared" si="15"/>
        <v>0.83713796390702344</v>
      </c>
      <c r="Y58" s="96">
        <f t="shared" si="8"/>
        <v>1.5436680316906064</v>
      </c>
      <c r="Z58" s="96">
        <f t="shared" si="19"/>
        <v>98.342299344892481</v>
      </c>
      <c r="AA58" s="97">
        <f t="shared" si="18"/>
        <v>308.21770065510765</v>
      </c>
      <c r="AB58" s="97">
        <f t="shared" si="16"/>
        <v>338.21770065510765</v>
      </c>
      <c r="AC58" s="97">
        <f t="shared" si="17"/>
        <v>798.76196356497132</v>
      </c>
      <c r="AD58" s="96"/>
      <c r="AE58" s="105">
        <f t="shared" si="9"/>
        <v>8.3422993448924814</v>
      </c>
    </row>
    <row r="59" spans="5:31" x14ac:dyDescent="0.35">
      <c r="E59" s="100">
        <f t="shared" si="13"/>
        <v>1.0395833333333395</v>
      </c>
      <c r="F59" s="5">
        <v>20</v>
      </c>
      <c r="G59" s="5">
        <f t="shared" si="14"/>
        <v>140</v>
      </c>
      <c r="H59" s="106">
        <f t="shared" si="20"/>
        <v>3.8194444444444443E-3</v>
      </c>
      <c r="I59" s="110">
        <f t="shared" si="10"/>
        <v>1.7687499999999998E-2</v>
      </c>
      <c r="J59" s="5">
        <v>1.05</v>
      </c>
      <c r="K59" s="5">
        <v>0</v>
      </c>
      <c r="L59" s="5">
        <v>0</v>
      </c>
      <c r="N59" s="5">
        <f t="shared" si="2"/>
        <v>140</v>
      </c>
      <c r="O59" s="97">
        <f t="shared" si="3"/>
        <v>181.81818181818184</v>
      </c>
      <c r="P59" s="5">
        <f t="shared" si="4"/>
        <v>1</v>
      </c>
      <c r="R59" s="96">
        <f t="shared" si="5"/>
        <v>4.0522445419824962</v>
      </c>
      <c r="S59" s="95">
        <f t="shared" si="6"/>
        <v>0.98866677429772687</v>
      </c>
      <c r="T59" s="96">
        <f t="shared" si="7"/>
        <v>60.099071555555561</v>
      </c>
      <c r="U59" s="97"/>
      <c r="V59" s="97">
        <f t="shared" si="11"/>
        <v>51.574021443413592</v>
      </c>
      <c r="W59" s="96">
        <f t="shared" si="12"/>
        <v>59.417955213119384</v>
      </c>
      <c r="X59" s="96">
        <f t="shared" si="15"/>
        <v>0.83599889363570501</v>
      </c>
      <c r="Y59" s="96">
        <f t="shared" si="8"/>
        <v>1.530450032401536</v>
      </c>
      <c r="Z59" s="96">
        <f t="shared" si="19"/>
        <v>99.872749377294014</v>
      </c>
      <c r="AA59" s="97">
        <f t="shared" si="18"/>
        <v>306.68725062270613</v>
      </c>
      <c r="AB59" s="97">
        <f t="shared" si="16"/>
        <v>336.68725062270613</v>
      </c>
      <c r="AC59" s="97">
        <f t="shared" si="17"/>
        <v>812.96319569047785</v>
      </c>
      <c r="AD59" s="96"/>
      <c r="AE59" s="105">
        <f t="shared" si="9"/>
        <v>9.8727493772940136</v>
      </c>
    </row>
    <row r="60" spans="5:31" x14ac:dyDescent="0.35">
      <c r="E60" s="100">
        <f t="shared" si="13"/>
        <v>1.0402777777777841</v>
      </c>
      <c r="F60" s="5">
        <v>20</v>
      </c>
      <c r="G60" s="5">
        <f t="shared" si="14"/>
        <v>140</v>
      </c>
      <c r="H60" s="106">
        <f t="shared" si="20"/>
        <v>3.8194444444444443E-3</v>
      </c>
      <c r="I60" s="110">
        <f t="shared" si="10"/>
        <v>1.7687499999999998E-2</v>
      </c>
      <c r="J60" s="5">
        <v>1.05</v>
      </c>
      <c r="K60" s="5">
        <v>0</v>
      </c>
      <c r="L60" s="5">
        <v>0</v>
      </c>
      <c r="N60" s="5">
        <f t="shared" si="2"/>
        <v>140</v>
      </c>
      <c r="O60" s="97">
        <f t="shared" si="3"/>
        <v>181.81818181818184</v>
      </c>
      <c r="P60" s="5">
        <f t="shared" si="4"/>
        <v>1</v>
      </c>
      <c r="R60" s="96">
        <f t="shared" si="5"/>
        <v>4.0522445419824962</v>
      </c>
      <c r="S60" s="95">
        <f t="shared" si="6"/>
        <v>0.9884129792716666</v>
      </c>
      <c r="T60" s="96">
        <f t="shared" si="7"/>
        <v>60.099071555555561</v>
      </c>
      <c r="U60" s="97"/>
      <c r="V60" s="97">
        <f t="shared" si="11"/>
        <v>51.574021443413592</v>
      </c>
      <c r="W60" s="96">
        <f t="shared" si="12"/>
        <v>59.402702367687745</v>
      </c>
      <c r="X60" s="96">
        <f t="shared" si="15"/>
        <v>0.83486957690577479</v>
      </c>
      <c r="Y60" s="96">
        <f t="shared" si="8"/>
        <v>1.5173517680662338</v>
      </c>
      <c r="Z60" s="96">
        <f t="shared" si="19"/>
        <v>101.39010114536025</v>
      </c>
      <c r="AA60" s="97">
        <f t="shared" si="18"/>
        <v>305.16989885463988</v>
      </c>
      <c r="AB60" s="97">
        <f t="shared" si="16"/>
        <v>335.16989885463988</v>
      </c>
      <c r="AC60" s="97">
        <f t="shared" si="17"/>
        <v>827.16078229843379</v>
      </c>
      <c r="AD60" s="96"/>
      <c r="AE60" s="105">
        <f t="shared" si="9"/>
        <v>11.390101145360248</v>
      </c>
    </row>
    <row r="61" spans="5:31" x14ac:dyDescent="0.35">
      <c r="E61" s="100">
        <f t="shared" si="13"/>
        <v>1.0409722222222286</v>
      </c>
      <c r="F61" s="5">
        <v>20</v>
      </c>
      <c r="G61" s="5">
        <f t="shared" si="14"/>
        <v>140</v>
      </c>
      <c r="H61" s="106">
        <f t="shared" si="20"/>
        <v>3.8194444444444443E-3</v>
      </c>
      <c r="I61" s="110">
        <f t="shared" si="10"/>
        <v>1.7687499999999998E-2</v>
      </c>
      <c r="J61" s="5">
        <v>1.05</v>
      </c>
      <c r="K61" s="5">
        <v>0</v>
      </c>
      <c r="L61" s="5">
        <v>0</v>
      </c>
      <c r="N61" s="5">
        <f t="shared" si="2"/>
        <v>140</v>
      </c>
      <c r="O61" s="97">
        <f t="shared" si="3"/>
        <v>181.81818181818184</v>
      </c>
      <c r="P61" s="5">
        <f t="shared" si="4"/>
        <v>1</v>
      </c>
      <c r="R61" s="96">
        <f t="shared" si="5"/>
        <v>4.0522445419824962</v>
      </c>
      <c r="S61" s="95">
        <f t="shared" si="6"/>
        <v>0.98816135633503599</v>
      </c>
      <c r="T61" s="96">
        <f t="shared" si="7"/>
        <v>60.099071555555561</v>
      </c>
      <c r="U61" s="97"/>
      <c r="V61" s="97">
        <f t="shared" si="11"/>
        <v>51.574021443413592</v>
      </c>
      <c r="W61" s="96">
        <f t="shared" si="12"/>
        <v>59.387580062814166</v>
      </c>
      <c r="X61" s="96">
        <f t="shared" si="15"/>
        <v>0.83374992536499393</v>
      </c>
      <c r="Y61" s="96">
        <f t="shared" si="8"/>
        <v>1.5043720456456435</v>
      </c>
      <c r="Z61" s="96">
        <f t="shared" si="19"/>
        <v>102.89447319100589</v>
      </c>
      <c r="AA61" s="97">
        <f t="shared" si="18"/>
        <v>303.66552680899423</v>
      </c>
      <c r="AB61" s="97">
        <f t="shared" si="16"/>
        <v>333.66552680899423</v>
      </c>
      <c r="AC61" s="97">
        <f t="shared" si="17"/>
        <v>841.35475458878136</v>
      </c>
      <c r="AD61" s="96"/>
      <c r="AE61" s="105">
        <f t="shared" si="9"/>
        <v>12.894473191005886</v>
      </c>
    </row>
    <row r="62" spans="5:31" x14ac:dyDescent="0.35">
      <c r="E62" s="100">
        <f t="shared" si="13"/>
        <v>1.0416666666666732</v>
      </c>
      <c r="F62" s="5">
        <v>20</v>
      </c>
      <c r="G62" s="5">
        <f t="shared" si="14"/>
        <v>140</v>
      </c>
      <c r="H62" s="106">
        <f t="shared" si="20"/>
        <v>3.8194444444444443E-3</v>
      </c>
      <c r="I62" s="110">
        <f t="shared" si="10"/>
        <v>1.7687499999999998E-2</v>
      </c>
      <c r="J62" s="5">
        <v>1.05</v>
      </c>
      <c r="K62" s="5">
        <v>0</v>
      </c>
      <c r="L62" s="5">
        <v>0</v>
      </c>
      <c r="N62" s="5">
        <f t="shared" si="2"/>
        <v>140</v>
      </c>
      <c r="O62" s="97">
        <f t="shared" si="3"/>
        <v>181.81818181818184</v>
      </c>
      <c r="P62" s="5">
        <f t="shared" si="4"/>
        <v>1.0049999999999999</v>
      </c>
      <c r="R62" s="96">
        <f t="shared" si="5"/>
        <v>4.0725057646924085</v>
      </c>
      <c r="S62" s="95">
        <f t="shared" si="6"/>
        <v>0.98791188582999123</v>
      </c>
      <c r="T62" s="96">
        <f t="shared" si="7"/>
        <v>60.099071555555561</v>
      </c>
      <c r="U62" s="97"/>
      <c r="V62" s="97">
        <f t="shared" si="11"/>
        <v>51.831891550630665</v>
      </c>
      <c r="W62" s="96">
        <f t="shared" si="12"/>
        <v>59.372587117080478</v>
      </c>
      <c r="X62" s="96">
        <f t="shared" si="15"/>
        <v>0.83263985154146547</v>
      </c>
      <c r="Y62" s="96">
        <f t="shared" si="8"/>
        <v>1.4915096857655838</v>
      </c>
      <c r="Z62" s="96">
        <f t="shared" si="19"/>
        <v>104.38598287677146</v>
      </c>
      <c r="AA62" s="97">
        <f t="shared" si="18"/>
        <v>302.17401712322862</v>
      </c>
      <c r="AB62" s="97">
        <f t="shared" si="16"/>
        <v>332.17401712322862</v>
      </c>
      <c r="AC62" s="97">
        <f t="shared" si="17"/>
        <v>855.54514347909696</v>
      </c>
      <c r="AD62" s="96"/>
      <c r="AE62" s="105">
        <f t="shared" si="9"/>
        <v>14.385982876771465</v>
      </c>
    </row>
    <row r="63" spans="5:31" x14ac:dyDescent="0.35">
      <c r="E63" s="100">
        <f t="shared" ref="E63:E126" si="21">E62+TIME(0,1,0)</f>
        <v>1.0423611111111177</v>
      </c>
      <c r="F63" s="5">
        <v>20</v>
      </c>
      <c r="G63" s="5">
        <f t="shared" si="14"/>
        <v>140</v>
      </c>
      <c r="H63" s="106">
        <f t="shared" si="20"/>
        <v>3.8194444444444443E-3</v>
      </c>
      <c r="I63" s="110">
        <f t="shared" si="10"/>
        <v>1.7687499999999998E-2</v>
      </c>
      <c r="J63" s="5">
        <v>1.05</v>
      </c>
      <c r="K63" s="5">
        <v>0</v>
      </c>
      <c r="L63" s="5">
        <v>0</v>
      </c>
      <c r="N63" s="5">
        <f t="shared" si="2"/>
        <v>140</v>
      </c>
      <c r="O63" s="97">
        <f t="shared" si="3"/>
        <v>181.81818181818184</v>
      </c>
      <c r="P63" s="5">
        <f t="shared" si="4"/>
        <v>1.0049999999999999</v>
      </c>
      <c r="R63" s="96">
        <f t="shared" si="5"/>
        <v>4.0725057646924085</v>
      </c>
      <c r="S63" s="95">
        <f t="shared" si="6"/>
        <v>0.98766454829426398</v>
      </c>
      <c r="T63" s="96">
        <f t="shared" si="7"/>
        <v>60.099071555555561</v>
      </c>
      <c r="U63" s="97"/>
      <c r="V63" s="97">
        <f t="shared" si="11"/>
        <v>51.831891550630665</v>
      </c>
      <c r="W63" s="96">
        <f t="shared" ref="W63:W126" si="22">S63*T63</f>
        <v>59.357722360822429</v>
      </c>
      <c r="X63" s="96">
        <f t="shared" si="15"/>
        <v>0.83153926883355112</v>
      </c>
      <c r="Y63" s="96">
        <f t="shared" si="8"/>
        <v>1.4787635225317257</v>
      </c>
      <c r="Z63" s="96">
        <f t="shared" si="19"/>
        <v>105.86474639930319</v>
      </c>
      <c r="AA63" s="97">
        <f t="shared" si="18"/>
        <v>300.6952536006969</v>
      </c>
      <c r="AB63" s="97">
        <f t="shared" si="16"/>
        <v>330.6952536006969</v>
      </c>
      <c r="AC63" s="97">
        <f t="shared" si="17"/>
        <v>869.7319796074006</v>
      </c>
      <c r="AD63" s="96"/>
      <c r="AE63" s="105">
        <f t="shared" si="9"/>
        <v>15.864746399303186</v>
      </c>
    </row>
    <row r="64" spans="5:31" x14ac:dyDescent="0.35">
      <c r="E64" s="100">
        <f t="shared" si="21"/>
        <v>1.0430555555555623</v>
      </c>
      <c r="F64" s="5">
        <v>20</v>
      </c>
      <c r="G64" s="5">
        <f t="shared" si="14"/>
        <v>140</v>
      </c>
      <c r="H64" s="106">
        <f t="shared" si="20"/>
        <v>3.8194444444444443E-3</v>
      </c>
      <c r="I64" s="110">
        <f t="shared" si="10"/>
        <v>1.7687499999999998E-2</v>
      </c>
      <c r="J64" s="5">
        <v>1.05</v>
      </c>
      <c r="K64" s="5">
        <v>0</v>
      </c>
      <c r="L64" s="5">
        <v>0</v>
      </c>
      <c r="N64" s="5">
        <f t="shared" si="2"/>
        <v>140</v>
      </c>
      <c r="O64" s="97">
        <f t="shared" si="3"/>
        <v>181.81818181818184</v>
      </c>
      <c r="P64" s="5">
        <f t="shared" si="4"/>
        <v>1.0049999999999999</v>
      </c>
      <c r="R64" s="96">
        <f t="shared" si="5"/>
        <v>4.0725057646924085</v>
      </c>
      <c r="S64" s="95">
        <f t="shared" si="6"/>
        <v>0.98741932445892633</v>
      </c>
      <c r="T64" s="96">
        <f t="shared" si="7"/>
        <v>60.099071555555561</v>
      </c>
      <c r="U64" s="97"/>
      <c r="V64" s="97">
        <f t="shared" si="11"/>
        <v>51.831891550630665</v>
      </c>
      <c r="W64" s="96">
        <f t="shared" si="22"/>
        <v>59.34298463599535</v>
      </c>
      <c r="X64" s="96">
        <f t="shared" si="15"/>
        <v>0.83044809149992382</v>
      </c>
      <c r="Y64" s="96">
        <f t="shared" si="8"/>
        <v>1.4661324033475185</v>
      </c>
      <c r="Z64" s="96">
        <f t="shared" si="19"/>
        <v>107.3308788026507</v>
      </c>
      <c r="AA64" s="97">
        <f t="shared" si="18"/>
        <v>299.2291211973494</v>
      </c>
      <c r="AB64" s="97">
        <f t="shared" si="16"/>
        <v>329.2291211973494</v>
      </c>
      <c r="AC64" s="97">
        <f t="shared" si="17"/>
        <v>883.91529333493293</v>
      </c>
      <c r="AD64" s="96"/>
      <c r="AE64" s="105">
        <f t="shared" si="9"/>
        <v>17.330878802650702</v>
      </c>
    </row>
    <row r="65" spans="5:31" x14ac:dyDescent="0.35">
      <c r="E65" s="100">
        <f t="shared" si="21"/>
        <v>1.0437500000000068</v>
      </c>
      <c r="F65" s="5">
        <v>20</v>
      </c>
      <c r="G65" s="5">
        <f t="shared" si="14"/>
        <v>140</v>
      </c>
      <c r="H65" s="106">
        <f t="shared" si="20"/>
        <v>3.8194444444444443E-3</v>
      </c>
      <c r="I65" s="110">
        <f t="shared" si="10"/>
        <v>1.7687499999999998E-2</v>
      </c>
      <c r="J65" s="5">
        <v>1.05</v>
      </c>
      <c r="K65" s="5">
        <v>0</v>
      </c>
      <c r="L65" s="5">
        <v>0</v>
      </c>
      <c r="N65" s="5">
        <f t="shared" si="2"/>
        <v>140</v>
      </c>
      <c r="O65" s="97">
        <f t="shared" si="3"/>
        <v>181.81818181818184</v>
      </c>
      <c r="P65" s="5">
        <f t="shared" si="4"/>
        <v>1.0049999999999999</v>
      </c>
      <c r="R65" s="96">
        <f t="shared" si="5"/>
        <v>4.0725057646924085</v>
      </c>
      <c r="S65" s="95">
        <f t="shared" si="6"/>
        <v>0.98717619524618649</v>
      </c>
      <c r="T65" s="96">
        <f t="shared" si="7"/>
        <v>60.099071555555561</v>
      </c>
      <c r="U65" s="97"/>
      <c r="V65" s="97">
        <f t="shared" si="11"/>
        <v>51.831891550630665</v>
      </c>
      <c r="W65" s="96">
        <f t="shared" si="22"/>
        <v>59.328372796041648</v>
      </c>
      <c r="X65" s="96">
        <f t="shared" si="15"/>
        <v>0.8293662346497559</v>
      </c>
      <c r="Y65" s="96">
        <f t="shared" si="8"/>
        <v>1.4536151887350228</v>
      </c>
      <c r="Z65" s="96">
        <f t="shared" si="19"/>
        <v>108.78449399138573</v>
      </c>
      <c r="AA65" s="97">
        <f t="shared" si="18"/>
        <v>297.7755060086144</v>
      </c>
      <c r="AB65" s="97">
        <f t="shared" si="16"/>
        <v>327.7755060086144</v>
      </c>
      <c r="AC65" s="97">
        <f t="shared" si="17"/>
        <v>898.09511474890087</v>
      </c>
      <c r="AD65" s="96"/>
      <c r="AE65" s="105">
        <f t="shared" si="9"/>
        <v>18.78449399138573</v>
      </c>
    </row>
    <row r="66" spans="5:31" x14ac:dyDescent="0.35">
      <c r="E66" s="100">
        <f t="shared" si="21"/>
        <v>1.0444444444444514</v>
      </c>
      <c r="F66" s="5">
        <v>20</v>
      </c>
      <c r="G66" s="5">
        <f t="shared" si="14"/>
        <v>140</v>
      </c>
      <c r="H66" s="106">
        <f t="shared" si="20"/>
        <v>3.8194444444444443E-3</v>
      </c>
      <c r="I66" s="110">
        <f t="shared" si="10"/>
        <v>1.7687499999999998E-2</v>
      </c>
      <c r="J66" s="5">
        <v>1.05</v>
      </c>
      <c r="K66" s="5">
        <v>0</v>
      </c>
      <c r="L66" s="5">
        <v>0</v>
      </c>
      <c r="N66" s="5">
        <f t="shared" si="2"/>
        <v>140</v>
      </c>
      <c r="O66" s="97">
        <f t="shared" si="3"/>
        <v>181.81818181818184</v>
      </c>
      <c r="P66" s="5">
        <f t="shared" si="4"/>
        <v>1.0049999999999999</v>
      </c>
      <c r="R66" s="96">
        <f t="shared" si="5"/>
        <v>4.0725057646924085</v>
      </c>
      <c r="S66" s="95">
        <f t="shared" si="6"/>
        <v>0.98693514176721242</v>
      </c>
      <c r="T66" s="96">
        <f t="shared" si="7"/>
        <v>60.099071555555561</v>
      </c>
      <c r="U66" s="97"/>
      <c r="V66" s="97">
        <f t="shared" si="11"/>
        <v>51.831891550630665</v>
      </c>
      <c r="W66" s="96">
        <f t="shared" si="22"/>
        <v>59.313885705760072</v>
      </c>
      <c r="X66" s="96">
        <f t="shared" si="15"/>
        <v>0.82829361423303882</v>
      </c>
      <c r="Y66" s="96">
        <f t="shared" si="8"/>
        <v>1.4412107521585873</v>
      </c>
      <c r="Z66" s="96">
        <f t="shared" si="19"/>
        <v>110.22570474354431</v>
      </c>
      <c r="AA66" s="97">
        <f t="shared" si="18"/>
        <v>296.33429525645579</v>
      </c>
      <c r="AB66" s="97">
        <f t="shared" si="16"/>
        <v>326.33429525645579</v>
      </c>
      <c r="AC66" s="97">
        <f t="shared" si="17"/>
        <v>912.27147366519148</v>
      </c>
      <c r="AD66" s="96"/>
      <c r="AE66" s="105">
        <f t="shared" si="9"/>
        <v>20.225704743544313</v>
      </c>
    </row>
    <row r="67" spans="5:31" x14ac:dyDescent="0.35">
      <c r="E67" s="100">
        <f t="shared" si="21"/>
        <v>1.0451388888888959</v>
      </c>
      <c r="F67" s="5">
        <v>20</v>
      </c>
      <c r="G67" s="5">
        <f t="shared" si="14"/>
        <v>140</v>
      </c>
      <c r="H67" s="106">
        <f t="shared" si="20"/>
        <v>3.8194444444444443E-3</v>
      </c>
      <c r="I67" s="110">
        <f t="shared" si="10"/>
        <v>1.7687499999999998E-2</v>
      </c>
      <c r="J67" s="5">
        <v>1.05</v>
      </c>
      <c r="K67" s="5">
        <v>0</v>
      </c>
      <c r="L67" s="5">
        <v>0</v>
      </c>
      <c r="N67" s="5">
        <f t="shared" ref="N67:N130" si="23">G67*(1-0.0015*MAX(0,F67-24))*1</f>
        <v>140</v>
      </c>
      <c r="O67" s="97">
        <f t="shared" ref="O67:O130" si="24">1/((MINUTE(H67)*60+SECOND(H67))/60/1000)</f>
        <v>181.81818181818184</v>
      </c>
      <c r="P67" s="5">
        <f t="shared" ref="P67:P130" si="25">1+MIN(0.25, IF(HOUR(E67)&lt;12,0.005*HOUR(E67), IF(HOUR(E67)&lt;24,MIN(0.1,0.005*HOUR(E67)+0.0025*HOUR(E67)),0.1))  +  (K67/300)*0.01  +  (L67/300)*0.02)</f>
        <v>1.0049999999999999</v>
      </c>
      <c r="R67" s="96">
        <f t="shared" ref="R67:R130" si="26">(155.4*POWER(I67,5) - 30.4*POWER(I67,4) - 43.3*POWER(I67,3) + 46.3*POWER(I67,2) + 19.5*I67 + $C$31)*J67*P67</f>
        <v>4.0725057646924085</v>
      </c>
      <c r="S67" s="95">
        <f t="shared" ref="S67:S130" si="27">(1.106*X67+3.941)/(1.106*MAX(0.7,(0.7+0.3*(G67-$C$16)/($C$17-$C$16)))+3.941)</f>
        <v>0.98669614531998528</v>
      </c>
      <c r="T67" s="96">
        <f t="shared" ref="T67:T130" si="28">IF($C$12=1, -95.7735+(0.634*N67)+(0.404*$C$19)+(0.394*$C$14)+(0.271*$C$13), -59.3954+(0.45*N67)+(0.38*$C$19)+(0.103*$C$14)+(0.274*$C$13))+$C$30</f>
        <v>60.099071555555561</v>
      </c>
      <c r="U67" s="97"/>
      <c r="V67" s="97">
        <f t="shared" si="11"/>
        <v>51.831891550630665</v>
      </c>
      <c r="W67" s="96">
        <f t="shared" si="22"/>
        <v>59.299522241176646</v>
      </c>
      <c r="X67" s="96">
        <f t="shared" si="15"/>
        <v>0.82723014703103281</v>
      </c>
      <c r="Y67" s="96">
        <f t="shared" ref="Y67:Y130" si="29">(MAX(V67,W67) * (X67-0.7)/0.3)/17.6</f>
        <v>1.4289179798513081</v>
      </c>
      <c r="Z67" s="96">
        <f t="shared" si="19"/>
        <v>111.65462272339562</v>
      </c>
      <c r="AA67" s="97">
        <f t="shared" si="18"/>
        <v>294.9053772766045</v>
      </c>
      <c r="AB67" s="97">
        <f t="shared" si="16"/>
        <v>324.9053772766045</v>
      </c>
      <c r="AC67" s="97">
        <f t="shared" si="17"/>
        <v>926.44439963105583</v>
      </c>
      <c r="AD67" s="96"/>
      <c r="AE67" s="105">
        <f t="shared" ref="AE67:AE130" si="30">MOD(Z67,30)</f>
        <v>21.654622723395619</v>
      </c>
    </row>
    <row r="68" spans="5:31" x14ac:dyDescent="0.35">
      <c r="E68" s="100">
        <f t="shared" si="21"/>
        <v>1.0458333333333405</v>
      </c>
      <c r="F68" s="5">
        <v>20</v>
      </c>
      <c r="G68" s="5">
        <f t="shared" si="14"/>
        <v>140</v>
      </c>
      <c r="H68" s="106">
        <f t="shared" si="20"/>
        <v>3.8194444444444443E-3</v>
      </c>
      <c r="I68" s="110">
        <f t="shared" ref="I68:I131" si="31">(140+143)/16000</f>
        <v>1.7687499999999998E-2</v>
      </c>
      <c r="J68" s="5">
        <v>1.05</v>
      </c>
      <c r="K68" s="5">
        <v>0</v>
      </c>
      <c r="L68" s="5">
        <v>0</v>
      </c>
      <c r="N68" s="5">
        <f t="shared" si="23"/>
        <v>140</v>
      </c>
      <c r="O68" s="97">
        <f t="shared" si="24"/>
        <v>181.81818181818184</v>
      </c>
      <c r="P68" s="5">
        <f t="shared" si="25"/>
        <v>1.0049999999999999</v>
      </c>
      <c r="R68" s="96">
        <f t="shared" si="26"/>
        <v>4.0725057646924085</v>
      </c>
      <c r="S68" s="95">
        <f t="shared" si="27"/>
        <v>0.98645918738718341</v>
      </c>
      <c r="T68" s="96">
        <f t="shared" si="28"/>
        <v>60.099071555555561</v>
      </c>
      <c r="U68" s="97"/>
      <c r="V68" s="97">
        <f t="shared" ref="V68:V131" si="32">O68*R68*$C$14/1000</f>
        <v>51.831891550630665</v>
      </c>
      <c r="W68" s="96">
        <f t="shared" si="22"/>
        <v>59.285281289417526</v>
      </c>
      <c r="X68" s="96">
        <f t="shared" si="15"/>
        <v>0.82617575064684501</v>
      </c>
      <c r="Y68" s="96">
        <f t="shared" si="29"/>
        <v>1.4167357706442452</v>
      </c>
      <c r="Z68" s="96">
        <f t="shared" ref="Z68:Z131" si="33">Z67+Y68</f>
        <v>113.07135849403987</v>
      </c>
      <c r="AA68" s="97">
        <f t="shared" si="18"/>
        <v>293.48864150596023</v>
      </c>
      <c r="AB68" s="97">
        <f t="shared" si="16"/>
        <v>323.48864150596023</v>
      </c>
      <c r="AC68" s="97">
        <f t="shared" si="17"/>
        <v>940.61392192776179</v>
      </c>
      <c r="AD68" s="96"/>
      <c r="AE68" s="105">
        <f t="shared" si="30"/>
        <v>23.07135849403987</v>
      </c>
    </row>
    <row r="69" spans="5:31" x14ac:dyDescent="0.35">
      <c r="E69" s="100">
        <f t="shared" si="21"/>
        <v>1.0465277777777851</v>
      </c>
      <c r="F69" s="5">
        <v>20</v>
      </c>
      <c r="G69" s="5">
        <f t="shared" ref="G69:H132" si="34">G68</f>
        <v>140</v>
      </c>
      <c r="H69" s="106">
        <f t="shared" si="20"/>
        <v>3.8194444444444443E-3</v>
      </c>
      <c r="I69" s="110">
        <f t="shared" si="31"/>
        <v>1.7687499999999998E-2</v>
      </c>
      <c r="J69" s="5">
        <v>1.05</v>
      </c>
      <c r="K69" s="5">
        <v>0</v>
      </c>
      <c r="L69" s="5">
        <v>0</v>
      </c>
      <c r="N69" s="5">
        <f t="shared" si="23"/>
        <v>140</v>
      </c>
      <c r="O69" s="97">
        <f t="shared" si="24"/>
        <v>181.81818181818184</v>
      </c>
      <c r="P69" s="5">
        <f t="shared" si="25"/>
        <v>1.0049999999999999</v>
      </c>
      <c r="R69" s="96">
        <f t="shared" si="26"/>
        <v>4.0725057646924085</v>
      </c>
      <c r="S69" s="95">
        <f t="shared" si="27"/>
        <v>0.98622424963409194</v>
      </c>
      <c r="T69" s="96">
        <f t="shared" si="28"/>
        <v>60.099071555555561</v>
      </c>
      <c r="U69" s="97"/>
      <c r="V69" s="97">
        <f t="shared" si="32"/>
        <v>51.831891550630665</v>
      </c>
      <c r="W69" s="96">
        <f t="shared" si="22"/>
        <v>59.271161748583381</v>
      </c>
      <c r="X69" s="96">
        <f t="shared" ref="X69:X132" si="35">MAX(0.7, (0.7+0.3*(G69-$C$16)/($C$17-$C$16)) - 0.3*($C$29-AB68)/$C$29)</f>
        <v>0.82513034349613346</v>
      </c>
      <c r="Y69" s="96">
        <f t="shared" si="29"/>
        <v>1.4046630357983194</v>
      </c>
      <c r="Z69" s="96">
        <f t="shared" si="33"/>
        <v>114.47602152983819</v>
      </c>
      <c r="AA69" s="97">
        <f t="shared" ref="AA69:AA132" si="36">AA68-Y69</f>
        <v>292.08397847016192</v>
      </c>
      <c r="AB69" s="97">
        <f t="shared" ref="AB69:AB132" si="37">AB68-Y69+IF(MOD(60*HOUR(E69)+MINUTE(E69),MINUTE($C$35))=0,$C$34,0)</f>
        <v>322.08397847016192</v>
      </c>
      <c r="AC69" s="97">
        <f t="shared" ref="AC69:AC132" si="38">MAX(V69,W69)/4.184+AC68</f>
        <v>954.78006957321668</v>
      </c>
      <c r="AD69" s="96"/>
      <c r="AE69" s="105">
        <f t="shared" si="30"/>
        <v>24.476021529838192</v>
      </c>
    </row>
    <row r="70" spans="5:31" x14ac:dyDescent="0.35">
      <c r="E70" s="100">
        <f t="shared" si="21"/>
        <v>1.0472222222222296</v>
      </c>
      <c r="F70" s="5">
        <v>20</v>
      </c>
      <c r="G70" s="5">
        <f t="shared" si="34"/>
        <v>140</v>
      </c>
      <c r="H70" s="106">
        <f t="shared" si="20"/>
        <v>3.8194444444444443E-3</v>
      </c>
      <c r="I70" s="110">
        <f t="shared" si="31"/>
        <v>1.7687499999999998E-2</v>
      </c>
      <c r="J70" s="5">
        <v>1.05</v>
      </c>
      <c r="K70" s="5">
        <v>0</v>
      </c>
      <c r="L70" s="5">
        <v>0</v>
      </c>
      <c r="N70" s="5">
        <f t="shared" si="23"/>
        <v>140</v>
      </c>
      <c r="O70" s="97">
        <f t="shared" si="24"/>
        <v>181.81818181818184</v>
      </c>
      <c r="P70" s="5">
        <f t="shared" si="25"/>
        <v>1.0049999999999999</v>
      </c>
      <c r="R70" s="96">
        <f t="shared" si="26"/>
        <v>4.0725057646924085</v>
      </c>
      <c r="S70" s="95">
        <f t="shared" si="27"/>
        <v>0.98599131390654193</v>
      </c>
      <c r="T70" s="96">
        <f t="shared" si="28"/>
        <v>60.099071555555561</v>
      </c>
      <c r="U70" s="97"/>
      <c r="V70" s="97">
        <f t="shared" si="32"/>
        <v>51.831891550630665</v>
      </c>
      <c r="W70" s="96">
        <f t="shared" si="22"/>
        <v>59.257162527625511</v>
      </c>
      <c r="X70" s="96">
        <f t="shared" si="35"/>
        <v>0.82409384479793524</v>
      </c>
      <c r="Y70" s="96">
        <f t="shared" si="29"/>
        <v>1.392698698838861</v>
      </c>
      <c r="Z70" s="96">
        <f t="shared" si="33"/>
        <v>115.86872022867705</v>
      </c>
      <c r="AA70" s="97">
        <f t="shared" si="36"/>
        <v>290.69127977132308</v>
      </c>
      <c r="AB70" s="97">
        <f t="shared" si="37"/>
        <v>320.69127977132308</v>
      </c>
      <c r="AC70" s="97">
        <f t="shared" si="38"/>
        <v>968.94287132456122</v>
      </c>
      <c r="AD70" s="96"/>
      <c r="AE70" s="105">
        <f t="shared" si="30"/>
        <v>25.868720228677049</v>
      </c>
    </row>
    <row r="71" spans="5:31" x14ac:dyDescent="0.35">
      <c r="E71" s="100">
        <f t="shared" si="21"/>
        <v>1.0479166666666742</v>
      </c>
      <c r="F71" s="5">
        <v>20</v>
      </c>
      <c r="G71" s="5">
        <f t="shared" si="34"/>
        <v>140</v>
      </c>
      <c r="H71" s="106">
        <f t="shared" si="20"/>
        <v>3.8194444444444443E-3</v>
      </c>
      <c r="I71" s="110">
        <f t="shared" si="31"/>
        <v>1.7687499999999998E-2</v>
      </c>
      <c r="J71" s="5">
        <v>1.05</v>
      </c>
      <c r="K71" s="5">
        <v>0</v>
      </c>
      <c r="L71" s="5">
        <v>0</v>
      </c>
      <c r="N71" s="5">
        <f t="shared" si="23"/>
        <v>140</v>
      </c>
      <c r="O71" s="97">
        <f t="shared" si="24"/>
        <v>181.81818181818184</v>
      </c>
      <c r="P71" s="5">
        <f t="shared" si="25"/>
        <v>1.0049999999999999</v>
      </c>
      <c r="R71" s="96">
        <f t="shared" si="26"/>
        <v>4.0725057646924085</v>
      </c>
      <c r="S71" s="95">
        <f t="shared" si="27"/>
        <v>0.98576036222887675</v>
      </c>
      <c r="T71" s="96">
        <f t="shared" si="28"/>
        <v>60.099071555555561</v>
      </c>
      <c r="U71" s="97"/>
      <c r="V71" s="97">
        <f t="shared" si="32"/>
        <v>51.831891550630665</v>
      </c>
      <c r="W71" s="96">
        <f t="shared" si="22"/>
        <v>59.243282546223632</v>
      </c>
      <c r="X71" s="96">
        <f t="shared" si="35"/>
        <v>0.82306617456561604</v>
      </c>
      <c r="Y71" s="96">
        <f t="shared" si="29"/>
        <v>1.3808416953927414</v>
      </c>
      <c r="Z71" s="96">
        <f t="shared" si="33"/>
        <v>117.24956192406979</v>
      </c>
      <c r="AA71" s="97">
        <f t="shared" si="36"/>
        <v>289.31043807593034</v>
      </c>
      <c r="AB71" s="97">
        <f t="shared" si="37"/>
        <v>319.31043807593034</v>
      </c>
      <c r="AC71" s="97">
        <f t="shared" si="38"/>
        <v>983.10235568073324</v>
      </c>
      <c r="AD71" s="96"/>
      <c r="AE71" s="105">
        <f t="shared" si="30"/>
        <v>27.249561924069795</v>
      </c>
    </row>
    <row r="72" spans="5:31" x14ac:dyDescent="0.35">
      <c r="E72" s="100">
        <f t="shared" si="21"/>
        <v>1.0486111111111187</v>
      </c>
      <c r="F72" s="5">
        <v>20</v>
      </c>
      <c r="G72" s="5">
        <f t="shared" si="34"/>
        <v>140</v>
      </c>
      <c r="H72" s="106">
        <f t="shared" si="20"/>
        <v>3.8194444444444443E-3</v>
      </c>
      <c r="I72" s="110">
        <f t="shared" si="31"/>
        <v>1.7687499999999998E-2</v>
      </c>
      <c r="J72" s="5">
        <v>1.05</v>
      </c>
      <c r="K72" s="5">
        <v>0</v>
      </c>
      <c r="L72" s="5">
        <v>0</v>
      </c>
      <c r="N72" s="5">
        <f t="shared" si="23"/>
        <v>140</v>
      </c>
      <c r="O72" s="97">
        <f t="shared" si="24"/>
        <v>181.81818181818184</v>
      </c>
      <c r="P72" s="5">
        <f t="shared" si="25"/>
        <v>1.0049999999999999</v>
      </c>
      <c r="R72" s="96">
        <f t="shared" si="26"/>
        <v>4.0725057646924085</v>
      </c>
      <c r="S72" s="95">
        <f t="shared" si="27"/>
        <v>0.98553137680194491</v>
      </c>
      <c r="T72" s="96">
        <f t="shared" si="28"/>
        <v>60.099071555555561</v>
      </c>
      <c r="U72" s="97"/>
      <c r="V72" s="97">
        <f t="shared" si="32"/>
        <v>51.831891550630665</v>
      </c>
      <c r="W72" s="96">
        <f t="shared" si="22"/>
        <v>59.229520734665279</v>
      </c>
      <c r="X72" s="96">
        <f t="shared" si="35"/>
        <v>0.8220472535979414</v>
      </c>
      <c r="Y72" s="96">
        <f t="shared" si="29"/>
        <v>1.3690909730280727</v>
      </c>
      <c r="Z72" s="96">
        <f t="shared" si="33"/>
        <v>118.61865289709787</v>
      </c>
      <c r="AA72" s="97">
        <f t="shared" si="36"/>
        <v>287.94134710290228</v>
      </c>
      <c r="AB72" s="97">
        <f t="shared" si="37"/>
        <v>317.94134710290228</v>
      </c>
      <c r="AC72" s="97">
        <f t="shared" si="38"/>
        <v>997.25855088500316</v>
      </c>
      <c r="AD72" s="96"/>
      <c r="AE72" s="105">
        <f t="shared" si="30"/>
        <v>28.618652897097874</v>
      </c>
    </row>
    <row r="73" spans="5:31" x14ac:dyDescent="0.35">
      <c r="E73" s="100">
        <f t="shared" si="21"/>
        <v>1.0493055555555633</v>
      </c>
      <c r="F73" s="5">
        <v>20</v>
      </c>
      <c r="G73" s="5">
        <f t="shared" si="34"/>
        <v>140</v>
      </c>
      <c r="H73" s="106">
        <f t="shared" si="20"/>
        <v>3.8194444444444443E-3</v>
      </c>
      <c r="I73" s="110">
        <f t="shared" si="31"/>
        <v>1.7687499999999998E-2</v>
      </c>
      <c r="J73" s="5">
        <v>1.05</v>
      </c>
      <c r="K73" s="5">
        <v>0</v>
      </c>
      <c r="L73" s="5">
        <v>0</v>
      </c>
      <c r="N73" s="5">
        <f t="shared" si="23"/>
        <v>140</v>
      </c>
      <c r="O73" s="97">
        <f t="shared" si="24"/>
        <v>181.81818181818184</v>
      </c>
      <c r="P73" s="5">
        <f t="shared" si="25"/>
        <v>1.0049999999999999</v>
      </c>
      <c r="R73" s="96">
        <f t="shared" si="26"/>
        <v>4.0725057646924085</v>
      </c>
      <c r="S73" s="95">
        <f t="shared" si="27"/>
        <v>0.98530434000112022</v>
      </c>
      <c r="T73" s="96">
        <f t="shared" si="28"/>
        <v>60.099071555555561</v>
      </c>
      <c r="U73" s="97"/>
      <c r="V73" s="97">
        <f t="shared" si="32"/>
        <v>51.831891550630665</v>
      </c>
      <c r="W73" s="96">
        <f t="shared" si="22"/>
        <v>59.215876033726772</v>
      </c>
      <c r="X73" s="96">
        <f t="shared" si="35"/>
        <v>0.82103700347026431</v>
      </c>
      <c r="Y73" s="96">
        <f t="shared" si="29"/>
        <v>1.3574454910963885</v>
      </c>
      <c r="Z73" s="96">
        <f t="shared" si="33"/>
        <v>119.97609838819426</v>
      </c>
      <c r="AA73" s="97">
        <f t="shared" si="36"/>
        <v>286.58390161180591</v>
      </c>
      <c r="AB73" s="97">
        <f t="shared" si="37"/>
        <v>316.58390161180591</v>
      </c>
      <c r="AC73" s="97">
        <f t="shared" si="38"/>
        <v>1011.4114849274808</v>
      </c>
      <c r="AD73" s="96"/>
      <c r="AE73" s="105">
        <f t="shared" si="30"/>
        <v>29.976098388194259</v>
      </c>
    </row>
    <row r="74" spans="5:31" x14ac:dyDescent="0.35">
      <c r="E74" s="100">
        <f t="shared" si="21"/>
        <v>1.0500000000000078</v>
      </c>
      <c r="F74" s="5">
        <v>20</v>
      </c>
      <c r="G74" s="5">
        <f t="shared" si="34"/>
        <v>140</v>
      </c>
      <c r="H74" s="106">
        <f t="shared" si="20"/>
        <v>3.8194444444444443E-3</v>
      </c>
      <c r="I74" s="110">
        <f t="shared" si="31"/>
        <v>1.7687499999999998E-2</v>
      </c>
      <c r="J74" s="5">
        <v>1.05</v>
      </c>
      <c r="K74" s="5">
        <v>0</v>
      </c>
      <c r="L74" s="5">
        <v>0</v>
      </c>
      <c r="N74" s="5">
        <f t="shared" si="23"/>
        <v>140</v>
      </c>
      <c r="O74" s="97">
        <f t="shared" si="24"/>
        <v>181.81818181818184</v>
      </c>
      <c r="P74" s="5">
        <f t="shared" si="25"/>
        <v>1.0049999999999999</v>
      </c>
      <c r="R74" s="96">
        <f t="shared" si="26"/>
        <v>4.0725057646924085</v>
      </c>
      <c r="S74" s="95">
        <f t="shared" si="27"/>
        <v>0.98507923437434719</v>
      </c>
      <c r="T74" s="96">
        <f t="shared" si="28"/>
        <v>60.099071555555561</v>
      </c>
      <c r="U74" s="97"/>
      <c r="V74" s="97">
        <f t="shared" si="32"/>
        <v>51.831891550630665</v>
      </c>
      <c r="W74" s="96">
        <f t="shared" si="22"/>
        <v>59.20234739455578</v>
      </c>
      <c r="X74" s="96">
        <f t="shared" si="35"/>
        <v>0.82003534652583066</v>
      </c>
      <c r="Y74" s="96">
        <f t="shared" si="29"/>
        <v>1.3459042205772942</v>
      </c>
      <c r="Z74" s="96">
        <f t="shared" si="33"/>
        <v>121.32200260877156</v>
      </c>
      <c r="AA74" s="97">
        <f t="shared" si="36"/>
        <v>285.23799739122865</v>
      </c>
      <c r="AB74" s="97">
        <f t="shared" si="37"/>
        <v>315.23799739122865</v>
      </c>
      <c r="AC74" s="97">
        <f t="shared" si="38"/>
        <v>1025.5611855475945</v>
      </c>
      <c r="AD74" s="96"/>
      <c r="AE74" s="105">
        <f t="shared" si="30"/>
        <v>1.3220026087715553</v>
      </c>
    </row>
    <row r="75" spans="5:31" x14ac:dyDescent="0.35">
      <c r="E75" s="100">
        <f t="shared" si="21"/>
        <v>1.0506944444444524</v>
      </c>
      <c r="F75" s="5">
        <v>20</v>
      </c>
      <c r="G75" s="5">
        <f t="shared" si="34"/>
        <v>140</v>
      </c>
      <c r="H75" s="106">
        <f t="shared" si="20"/>
        <v>3.8194444444444443E-3</v>
      </c>
      <c r="I75" s="110">
        <f t="shared" si="31"/>
        <v>1.7687499999999998E-2</v>
      </c>
      <c r="J75" s="5">
        <v>1.05</v>
      </c>
      <c r="K75" s="5">
        <v>0</v>
      </c>
      <c r="L75" s="5">
        <v>0</v>
      </c>
      <c r="N75" s="5">
        <f t="shared" si="23"/>
        <v>140</v>
      </c>
      <c r="O75" s="97">
        <f t="shared" si="24"/>
        <v>181.81818181818184</v>
      </c>
      <c r="P75" s="5">
        <f t="shared" si="25"/>
        <v>1.0049999999999999</v>
      </c>
      <c r="R75" s="96">
        <f t="shared" si="26"/>
        <v>4.0725057646924085</v>
      </c>
      <c r="S75" s="95">
        <f t="shared" si="27"/>
        <v>0.98485604264021398</v>
      </c>
      <c r="T75" s="96">
        <f t="shared" si="28"/>
        <v>60.099071555555561</v>
      </c>
      <c r="U75" s="97"/>
      <c r="V75" s="97">
        <f t="shared" si="32"/>
        <v>51.831891550630665</v>
      </c>
      <c r="W75" s="96">
        <f t="shared" si="22"/>
        <v>59.188933778555501</v>
      </c>
      <c r="X75" s="96">
        <f t="shared" si="35"/>
        <v>0.81904220586719934</v>
      </c>
      <c r="Y75" s="96">
        <f t="shared" si="29"/>
        <v>1.3344661439255368</v>
      </c>
      <c r="Z75" s="96">
        <f t="shared" si="33"/>
        <v>122.65646875269709</v>
      </c>
      <c r="AA75" s="97">
        <f t="shared" si="36"/>
        <v>283.90353124730314</v>
      </c>
      <c r="AB75" s="97">
        <f t="shared" si="37"/>
        <v>313.90353124730314</v>
      </c>
      <c r="AC75" s="97">
        <f t="shared" si="38"/>
        <v>1039.7076802365418</v>
      </c>
      <c r="AD75" s="96"/>
      <c r="AE75" s="105">
        <f t="shared" si="30"/>
        <v>2.6564687526970943</v>
      </c>
    </row>
    <row r="76" spans="5:31" x14ac:dyDescent="0.35">
      <c r="E76" s="100">
        <f t="shared" si="21"/>
        <v>1.0513888888888969</v>
      </c>
      <c r="F76" s="5">
        <v>20</v>
      </c>
      <c r="G76" s="5">
        <f t="shared" si="34"/>
        <v>140</v>
      </c>
      <c r="H76" s="106">
        <f t="shared" si="20"/>
        <v>3.8194444444444443E-3</v>
      </c>
      <c r="I76" s="110">
        <f t="shared" si="31"/>
        <v>1.7687499999999998E-2</v>
      </c>
      <c r="J76" s="5">
        <v>1.05</v>
      </c>
      <c r="K76" s="5">
        <v>0</v>
      </c>
      <c r="L76" s="5">
        <v>0</v>
      </c>
      <c r="N76" s="5">
        <f t="shared" si="23"/>
        <v>140</v>
      </c>
      <c r="O76" s="97">
        <f t="shared" si="24"/>
        <v>181.81818181818184</v>
      </c>
      <c r="P76" s="5">
        <f t="shared" si="25"/>
        <v>1.0049999999999999</v>
      </c>
      <c r="R76" s="96">
        <f t="shared" si="26"/>
        <v>4.0725057646924085</v>
      </c>
      <c r="S76" s="95">
        <f t="shared" si="27"/>
        <v>0.98463474768604775</v>
      </c>
      <c r="T76" s="96">
        <f t="shared" si="28"/>
        <v>60.099071555555561</v>
      </c>
      <c r="U76" s="97"/>
      <c r="V76" s="97">
        <f t="shared" si="32"/>
        <v>51.831891550630665</v>
      </c>
      <c r="W76" s="96">
        <f t="shared" si="22"/>
        <v>59.175634157270181</v>
      </c>
      <c r="X76" s="96">
        <f t="shared" si="35"/>
        <v>0.81805750534777377</v>
      </c>
      <c r="Y76" s="96">
        <f t="shared" si="29"/>
        <v>1.3231302549204225</v>
      </c>
      <c r="Z76" s="96">
        <f t="shared" si="33"/>
        <v>123.97959900761752</v>
      </c>
      <c r="AA76" s="97">
        <f t="shared" si="36"/>
        <v>282.58040099238269</v>
      </c>
      <c r="AB76" s="97">
        <f t="shared" si="37"/>
        <v>312.58040099238269</v>
      </c>
      <c r="AC76" s="97">
        <f t="shared" si="38"/>
        <v>1053.8509962397134</v>
      </c>
      <c r="AD76" s="96"/>
      <c r="AE76" s="105">
        <f t="shared" si="30"/>
        <v>3.9795990076175229</v>
      </c>
    </row>
    <row r="77" spans="5:31" x14ac:dyDescent="0.35">
      <c r="E77" s="100">
        <f t="shared" si="21"/>
        <v>1.0520833333333415</v>
      </c>
      <c r="F77" s="5">
        <v>20</v>
      </c>
      <c r="G77" s="5">
        <f t="shared" si="34"/>
        <v>140</v>
      </c>
      <c r="H77" s="106">
        <f t="shared" si="20"/>
        <v>3.8194444444444443E-3</v>
      </c>
      <c r="I77" s="110">
        <f t="shared" si="31"/>
        <v>1.7687499999999998E-2</v>
      </c>
      <c r="J77" s="5">
        <v>1.05</v>
      </c>
      <c r="K77" s="5">
        <v>0</v>
      </c>
      <c r="L77" s="5">
        <v>0</v>
      </c>
      <c r="N77" s="5">
        <f t="shared" si="23"/>
        <v>140</v>
      </c>
      <c r="O77" s="97">
        <f t="shared" si="24"/>
        <v>181.81818181818184</v>
      </c>
      <c r="P77" s="5">
        <f t="shared" si="25"/>
        <v>1.0049999999999999</v>
      </c>
      <c r="R77" s="96">
        <f t="shared" si="26"/>
        <v>4.0725057646924085</v>
      </c>
      <c r="S77" s="95">
        <f t="shared" si="27"/>
        <v>0.98441533256603753</v>
      </c>
      <c r="T77" s="96">
        <f t="shared" si="28"/>
        <v>60.099071555555561</v>
      </c>
      <c r="U77" s="97"/>
      <c r="V77" s="97">
        <f t="shared" si="32"/>
        <v>51.831891550630665</v>
      </c>
      <c r="W77" s="96">
        <f t="shared" si="22"/>
        <v>59.162447512272315</v>
      </c>
      <c r="X77" s="96">
        <f t="shared" si="35"/>
        <v>0.81708116956344634</v>
      </c>
      <c r="Y77" s="96">
        <f t="shared" si="29"/>
        <v>1.3118955585175855</v>
      </c>
      <c r="Z77" s="96">
        <f t="shared" si="33"/>
        <v>125.29149456613511</v>
      </c>
      <c r="AA77" s="97">
        <f t="shared" si="36"/>
        <v>281.26850543386513</v>
      </c>
      <c r="AB77" s="97">
        <f t="shared" si="37"/>
        <v>311.26850543386513</v>
      </c>
      <c r="AC77" s="97">
        <f t="shared" si="38"/>
        <v>1067.9911605590901</v>
      </c>
      <c r="AD77" s="96"/>
      <c r="AE77" s="105">
        <f t="shared" si="30"/>
        <v>5.291494566135114</v>
      </c>
    </row>
    <row r="78" spans="5:31" x14ac:dyDescent="0.35">
      <c r="E78" s="100">
        <f t="shared" si="21"/>
        <v>1.052777777777786</v>
      </c>
      <c r="F78" s="5">
        <v>20</v>
      </c>
      <c r="G78" s="5">
        <f t="shared" si="34"/>
        <v>140</v>
      </c>
      <c r="H78" s="106">
        <f t="shared" si="20"/>
        <v>3.8194444444444443E-3</v>
      </c>
      <c r="I78" s="110">
        <f t="shared" si="31"/>
        <v>1.7687499999999998E-2</v>
      </c>
      <c r="J78" s="5">
        <v>1.05</v>
      </c>
      <c r="K78" s="5">
        <v>0</v>
      </c>
      <c r="L78" s="5">
        <v>0</v>
      </c>
      <c r="N78" s="5">
        <f t="shared" si="23"/>
        <v>140</v>
      </c>
      <c r="O78" s="97">
        <f t="shared" si="24"/>
        <v>181.81818181818184</v>
      </c>
      <c r="P78" s="5">
        <f t="shared" si="25"/>
        <v>1.0049999999999999</v>
      </c>
      <c r="R78" s="96">
        <f t="shared" si="26"/>
        <v>4.0725057646924085</v>
      </c>
      <c r="S78" s="95">
        <f t="shared" si="27"/>
        <v>0.98419778049938178</v>
      </c>
      <c r="T78" s="96">
        <f t="shared" si="28"/>
        <v>60.099071555555561</v>
      </c>
      <c r="U78" s="97"/>
      <c r="V78" s="97">
        <f t="shared" si="32"/>
        <v>51.831891550630665</v>
      </c>
      <c r="W78" s="96">
        <f t="shared" si="22"/>
        <v>59.149372835051309</v>
      </c>
      <c r="X78" s="96">
        <f t="shared" si="35"/>
        <v>0.81611312384435142</v>
      </c>
      <c r="Y78" s="96">
        <f t="shared" si="29"/>
        <v>1.3007610707030359</v>
      </c>
      <c r="Z78" s="96">
        <f t="shared" si="33"/>
        <v>126.59225563683815</v>
      </c>
      <c r="AA78" s="97">
        <f t="shared" si="36"/>
        <v>279.96774436316207</v>
      </c>
      <c r="AB78" s="97">
        <f t="shared" si="37"/>
        <v>309.96774436316207</v>
      </c>
      <c r="AC78" s="97">
        <f t="shared" si="38"/>
        <v>1082.1281999556129</v>
      </c>
      <c r="AD78" s="96"/>
      <c r="AE78" s="105">
        <f t="shared" si="30"/>
        <v>6.5922556368381464</v>
      </c>
    </row>
    <row r="79" spans="5:31" x14ac:dyDescent="0.35">
      <c r="E79" s="100">
        <f t="shared" si="21"/>
        <v>1.0534722222222306</v>
      </c>
      <c r="F79" s="5">
        <v>20</v>
      </c>
      <c r="G79" s="5">
        <f t="shared" si="34"/>
        <v>140</v>
      </c>
      <c r="H79" s="106">
        <f t="shared" si="20"/>
        <v>3.8194444444444443E-3</v>
      </c>
      <c r="I79" s="110">
        <f t="shared" si="31"/>
        <v>1.7687499999999998E-2</v>
      </c>
      <c r="J79" s="5">
        <v>1.05</v>
      </c>
      <c r="K79" s="5">
        <v>0</v>
      </c>
      <c r="L79" s="5">
        <v>0</v>
      </c>
      <c r="N79" s="5">
        <f t="shared" si="23"/>
        <v>140</v>
      </c>
      <c r="O79" s="97">
        <f t="shared" si="24"/>
        <v>181.81818181818184</v>
      </c>
      <c r="P79" s="5">
        <f t="shared" si="25"/>
        <v>1.0049999999999999</v>
      </c>
      <c r="R79" s="96">
        <f t="shared" si="26"/>
        <v>4.0725057646924085</v>
      </c>
      <c r="S79" s="95">
        <f t="shared" si="27"/>
        <v>0.98398207486845757</v>
      </c>
      <c r="T79" s="96">
        <f t="shared" si="28"/>
        <v>60.099071555555561</v>
      </c>
      <c r="U79" s="97"/>
      <c r="V79" s="97">
        <f t="shared" si="32"/>
        <v>51.831891550630665</v>
      </c>
      <c r="W79" s="96">
        <f t="shared" si="22"/>
        <v>59.136409126903459</v>
      </c>
      <c r="X79" s="96">
        <f t="shared" si="35"/>
        <v>0.81515329424672511</v>
      </c>
      <c r="Y79" s="96">
        <f t="shared" si="29"/>
        <v>1.2897258183494387</v>
      </c>
      <c r="Z79" s="96">
        <f t="shared" si="33"/>
        <v>127.88198145518759</v>
      </c>
      <c r="AA79" s="97">
        <f t="shared" si="36"/>
        <v>278.67801854481263</v>
      </c>
      <c r="AB79" s="97">
        <f t="shared" si="37"/>
        <v>308.67801854481263</v>
      </c>
      <c r="AC79" s="97">
        <f t="shared" si="38"/>
        <v>1096.2621409515268</v>
      </c>
      <c r="AD79" s="96"/>
      <c r="AE79" s="105">
        <f t="shared" si="30"/>
        <v>7.8819814551875851</v>
      </c>
    </row>
    <row r="80" spans="5:31" x14ac:dyDescent="0.35">
      <c r="E80" s="100">
        <f t="shared" si="21"/>
        <v>1.0541666666666751</v>
      </c>
      <c r="F80" s="5">
        <v>20</v>
      </c>
      <c r="G80" s="5">
        <f t="shared" si="34"/>
        <v>140</v>
      </c>
      <c r="H80" s="106">
        <f t="shared" si="20"/>
        <v>3.8194444444444443E-3</v>
      </c>
      <c r="I80" s="110">
        <f t="shared" si="31"/>
        <v>1.7687499999999998E-2</v>
      </c>
      <c r="J80" s="5">
        <v>1.05</v>
      </c>
      <c r="K80" s="5">
        <v>0</v>
      </c>
      <c r="L80" s="5">
        <v>0</v>
      </c>
      <c r="N80" s="5">
        <f t="shared" si="23"/>
        <v>140</v>
      </c>
      <c r="O80" s="97">
        <f t="shared" si="24"/>
        <v>181.81818181818184</v>
      </c>
      <c r="P80" s="5">
        <f t="shared" si="25"/>
        <v>1.0049999999999999</v>
      </c>
      <c r="R80" s="96">
        <f t="shared" si="26"/>
        <v>4.0725057646924085</v>
      </c>
      <c r="S80" s="95">
        <f t="shared" si="27"/>
        <v>0.98376819921701597</v>
      </c>
      <c r="T80" s="96">
        <f t="shared" si="28"/>
        <v>60.099071555555561</v>
      </c>
      <c r="U80" s="97"/>
      <c r="V80" s="97">
        <f t="shared" si="32"/>
        <v>51.831891550630665</v>
      </c>
      <c r="W80" s="96">
        <f t="shared" si="22"/>
        <v>59.123555398823484</v>
      </c>
      <c r="X80" s="96">
        <f t="shared" si="35"/>
        <v>0.81420160754487347</v>
      </c>
      <c r="Y80" s="96">
        <f t="shared" si="29"/>
        <v>1.2787888390746263</v>
      </c>
      <c r="Z80" s="96">
        <f t="shared" si="33"/>
        <v>129.16077029426222</v>
      </c>
      <c r="AA80" s="97">
        <f t="shared" si="36"/>
        <v>277.39922970573798</v>
      </c>
      <c r="AB80" s="97">
        <f t="shared" si="37"/>
        <v>307.39922970573798</v>
      </c>
      <c r="AC80" s="97">
        <f t="shared" si="38"/>
        <v>1110.3930098326987</v>
      </c>
      <c r="AD80" s="96"/>
      <c r="AE80" s="105">
        <f t="shared" si="30"/>
        <v>9.1607702942622211</v>
      </c>
    </row>
    <row r="81" spans="5:31" x14ac:dyDescent="0.35">
      <c r="E81" s="100">
        <f t="shared" si="21"/>
        <v>1.0548611111111197</v>
      </c>
      <c r="F81" s="5">
        <v>20</v>
      </c>
      <c r="G81" s="5">
        <f t="shared" si="34"/>
        <v>140</v>
      </c>
      <c r="H81" s="106">
        <f t="shared" si="20"/>
        <v>3.8194444444444443E-3</v>
      </c>
      <c r="I81" s="110">
        <f t="shared" si="31"/>
        <v>1.7687499999999998E-2</v>
      </c>
      <c r="J81" s="5">
        <v>1.05</v>
      </c>
      <c r="K81" s="5">
        <v>0</v>
      </c>
      <c r="L81" s="5">
        <v>0</v>
      </c>
      <c r="N81" s="5">
        <f t="shared" si="23"/>
        <v>140</v>
      </c>
      <c r="O81" s="97">
        <f t="shared" si="24"/>
        <v>181.81818181818184</v>
      </c>
      <c r="P81" s="5">
        <f t="shared" si="25"/>
        <v>1.0049999999999999</v>
      </c>
      <c r="R81" s="96">
        <f t="shared" si="26"/>
        <v>4.0725057646924085</v>
      </c>
      <c r="S81" s="95">
        <f t="shared" si="27"/>
        <v>0.98355613724840052</v>
      </c>
      <c r="T81" s="96">
        <f t="shared" si="28"/>
        <v>60.099071555555561</v>
      </c>
      <c r="U81" s="97"/>
      <c r="V81" s="97">
        <f t="shared" si="32"/>
        <v>51.831891550630665</v>
      </c>
      <c r="W81" s="96">
        <f t="shared" si="22"/>
        <v>59.110810671397452</v>
      </c>
      <c r="X81" s="96">
        <f t="shared" si="35"/>
        <v>0.81325799122324216</v>
      </c>
      <c r="Y81" s="96">
        <f t="shared" si="29"/>
        <v>1.267949181102247</v>
      </c>
      <c r="Z81" s="96">
        <f t="shared" si="33"/>
        <v>130.42871947536446</v>
      </c>
      <c r="AA81" s="97">
        <f t="shared" si="36"/>
        <v>276.13128052463571</v>
      </c>
      <c r="AB81" s="97">
        <f t="shared" si="37"/>
        <v>306.13128052463571</v>
      </c>
      <c r="AC81" s="97">
        <f t="shared" si="38"/>
        <v>1124.5208326509103</v>
      </c>
      <c r="AD81" s="96"/>
      <c r="AE81" s="105">
        <f t="shared" si="30"/>
        <v>10.42871947536446</v>
      </c>
    </row>
    <row r="82" spans="5:31" x14ac:dyDescent="0.35">
      <c r="E82" s="100">
        <f t="shared" si="21"/>
        <v>1.0555555555555642</v>
      </c>
      <c r="F82" s="5">
        <v>20</v>
      </c>
      <c r="G82" s="5">
        <f t="shared" si="34"/>
        <v>140</v>
      </c>
      <c r="H82" s="106">
        <f t="shared" si="20"/>
        <v>3.8194444444444443E-3</v>
      </c>
      <c r="I82" s="110">
        <f t="shared" si="31"/>
        <v>1.7687499999999998E-2</v>
      </c>
      <c r="J82" s="5">
        <v>1.05</v>
      </c>
      <c r="K82" s="5">
        <v>0</v>
      </c>
      <c r="L82" s="5">
        <v>0</v>
      </c>
      <c r="N82" s="5">
        <f t="shared" si="23"/>
        <v>140</v>
      </c>
      <c r="O82" s="97">
        <f t="shared" si="24"/>
        <v>181.81818181818184</v>
      </c>
      <c r="P82" s="5">
        <f t="shared" si="25"/>
        <v>1.0049999999999999</v>
      </c>
      <c r="R82" s="96">
        <f t="shared" si="26"/>
        <v>4.0725057646924085</v>
      </c>
      <c r="S82" s="95">
        <f t="shared" si="27"/>
        <v>0.98334587282378805</v>
      </c>
      <c r="T82" s="96">
        <f t="shared" si="28"/>
        <v>60.099071555555561</v>
      </c>
      <c r="U82" s="97"/>
      <c r="V82" s="97">
        <f t="shared" si="32"/>
        <v>51.831891550630665</v>
      </c>
      <c r="W82" s="96">
        <f t="shared" si="22"/>
        <v>59.098173974697076</v>
      </c>
      <c r="X82" s="96">
        <f t="shared" si="35"/>
        <v>0.81232237346859182</v>
      </c>
      <c r="Y82" s="96">
        <f t="shared" si="29"/>
        <v>1.2572059031245721</v>
      </c>
      <c r="Z82" s="96">
        <f t="shared" si="33"/>
        <v>131.68592537848903</v>
      </c>
      <c r="AA82" s="97">
        <f t="shared" si="36"/>
        <v>274.87407462151111</v>
      </c>
      <c r="AB82" s="97">
        <f t="shared" si="37"/>
        <v>334.87407462151111</v>
      </c>
      <c r="AC82" s="97">
        <f t="shared" si="38"/>
        <v>1138.6456352261248</v>
      </c>
      <c r="AD82" s="96"/>
      <c r="AE82" s="105">
        <f t="shared" si="30"/>
        <v>11.685925378489031</v>
      </c>
    </row>
    <row r="83" spans="5:31" x14ac:dyDescent="0.35">
      <c r="E83" s="100">
        <f t="shared" si="21"/>
        <v>1.0562500000000088</v>
      </c>
      <c r="F83" s="5">
        <v>20</v>
      </c>
      <c r="G83" s="5">
        <f t="shared" si="34"/>
        <v>140</v>
      </c>
      <c r="H83" s="106">
        <f t="shared" si="20"/>
        <v>3.8194444444444443E-3</v>
      </c>
      <c r="I83" s="110">
        <f t="shared" si="31"/>
        <v>1.7687499999999998E-2</v>
      </c>
      <c r="J83" s="5">
        <v>1.05</v>
      </c>
      <c r="K83" s="5">
        <v>0</v>
      </c>
      <c r="L83" s="5">
        <v>0</v>
      </c>
      <c r="N83" s="5">
        <f t="shared" si="23"/>
        <v>140</v>
      </c>
      <c r="O83" s="97">
        <f t="shared" si="24"/>
        <v>181.81818181818184</v>
      </c>
      <c r="P83" s="5">
        <f t="shared" si="25"/>
        <v>1.0049999999999999</v>
      </c>
      <c r="R83" s="96">
        <f t="shared" si="26"/>
        <v>4.0725057646924085</v>
      </c>
      <c r="S83" s="95">
        <f t="shared" si="27"/>
        <v>0.98811229970635384</v>
      </c>
      <c r="T83" s="96">
        <f t="shared" si="28"/>
        <v>60.099071555555561</v>
      </c>
      <c r="U83" s="97"/>
      <c r="V83" s="97">
        <f t="shared" si="32"/>
        <v>51.831891550630665</v>
      </c>
      <c r="W83" s="96">
        <f t="shared" si="22"/>
        <v>59.384631804976721</v>
      </c>
      <c r="X83" s="96">
        <f t="shared" si="35"/>
        <v>0.83353163711740774</v>
      </c>
      <c r="Y83" s="96">
        <f t="shared" si="29"/>
        <v>1.5018422546464061</v>
      </c>
      <c r="Z83" s="96">
        <f t="shared" si="33"/>
        <v>133.18776763313545</v>
      </c>
      <c r="AA83" s="97">
        <f t="shared" si="36"/>
        <v>273.37223236686469</v>
      </c>
      <c r="AB83" s="97">
        <f t="shared" si="37"/>
        <v>333.37223236686469</v>
      </c>
      <c r="AC83" s="97">
        <f t="shared" si="38"/>
        <v>1152.8389028659376</v>
      </c>
      <c r="AD83" s="96"/>
      <c r="AE83" s="105">
        <f t="shared" si="30"/>
        <v>13.187767633135451</v>
      </c>
    </row>
    <row r="84" spans="5:31" x14ac:dyDescent="0.35">
      <c r="E84" s="100">
        <f t="shared" si="21"/>
        <v>1.0569444444444533</v>
      </c>
      <c r="F84" s="5">
        <v>20</v>
      </c>
      <c r="G84" s="5">
        <f t="shared" si="34"/>
        <v>140</v>
      </c>
      <c r="H84" s="106">
        <f t="shared" si="34"/>
        <v>3.8194444444444443E-3</v>
      </c>
      <c r="I84" s="110">
        <f t="shared" si="31"/>
        <v>1.7687499999999998E-2</v>
      </c>
      <c r="J84" s="5">
        <v>1.05</v>
      </c>
      <c r="K84" s="5">
        <v>0</v>
      </c>
      <c r="L84" s="5">
        <v>0</v>
      </c>
      <c r="N84" s="5">
        <f t="shared" si="23"/>
        <v>140</v>
      </c>
      <c r="O84" s="97">
        <f t="shared" si="24"/>
        <v>181.81818181818184</v>
      </c>
      <c r="P84" s="5">
        <f t="shared" si="25"/>
        <v>1.0049999999999999</v>
      </c>
      <c r="R84" s="96">
        <f t="shared" si="26"/>
        <v>4.0725057646924085</v>
      </c>
      <c r="S84" s="95">
        <f t="shared" si="27"/>
        <v>0.9878632487173723</v>
      </c>
      <c r="T84" s="96">
        <f t="shared" si="28"/>
        <v>60.099071555555561</v>
      </c>
      <c r="U84" s="97"/>
      <c r="V84" s="97">
        <f t="shared" si="32"/>
        <v>51.831891550630665</v>
      </c>
      <c r="W84" s="96">
        <f t="shared" si="22"/>
        <v>59.369664071768938</v>
      </c>
      <c r="X84" s="96">
        <f t="shared" si="35"/>
        <v>0.83242343002277486</v>
      </c>
      <c r="Y84" s="96">
        <f t="shared" si="29"/>
        <v>1.4890027567582476</v>
      </c>
      <c r="Z84" s="96">
        <f t="shared" si="33"/>
        <v>134.6767703898937</v>
      </c>
      <c r="AA84" s="97">
        <f t="shared" si="36"/>
        <v>271.88322961010647</v>
      </c>
      <c r="AB84" s="97">
        <f t="shared" si="37"/>
        <v>331.88322961010647</v>
      </c>
      <c r="AC84" s="97">
        <f t="shared" si="38"/>
        <v>1167.0285931316569</v>
      </c>
      <c r="AD84" s="96"/>
      <c r="AE84" s="105">
        <f t="shared" si="30"/>
        <v>14.676770389893704</v>
      </c>
    </row>
    <row r="85" spans="5:31" x14ac:dyDescent="0.35">
      <c r="E85" s="100">
        <f t="shared" si="21"/>
        <v>1.0576388888888979</v>
      </c>
      <c r="F85" s="5">
        <v>20</v>
      </c>
      <c r="G85" s="5">
        <f t="shared" si="34"/>
        <v>140</v>
      </c>
      <c r="H85" s="106">
        <f t="shared" si="34"/>
        <v>3.8194444444444443E-3</v>
      </c>
      <c r="I85" s="110">
        <f t="shared" si="31"/>
        <v>1.7687499999999998E-2</v>
      </c>
      <c r="J85" s="5">
        <v>1.05</v>
      </c>
      <c r="K85" s="5">
        <v>0</v>
      </c>
      <c r="L85" s="5">
        <v>0</v>
      </c>
      <c r="N85" s="5">
        <f t="shared" si="23"/>
        <v>140</v>
      </c>
      <c r="O85" s="97">
        <f t="shared" si="24"/>
        <v>181.81818181818184</v>
      </c>
      <c r="P85" s="5">
        <f t="shared" si="25"/>
        <v>1.0049999999999999</v>
      </c>
      <c r="R85" s="96">
        <f t="shared" si="26"/>
        <v>4.0725057646924085</v>
      </c>
      <c r="S85" s="95">
        <f t="shared" si="27"/>
        <v>0.9876163269064967</v>
      </c>
      <c r="T85" s="96">
        <f t="shared" si="28"/>
        <v>60.099071555555561</v>
      </c>
      <c r="U85" s="97"/>
      <c r="V85" s="97">
        <f t="shared" si="32"/>
        <v>51.831891550630665</v>
      </c>
      <c r="W85" s="96">
        <f t="shared" si="22"/>
        <v>59.354824300188497</v>
      </c>
      <c r="X85" s="96">
        <f t="shared" si="35"/>
        <v>0.83132469717392732</v>
      </c>
      <c r="Y85" s="96">
        <f t="shared" si="29"/>
        <v>1.4762792286049089</v>
      </c>
      <c r="Z85" s="96">
        <f t="shared" si="33"/>
        <v>136.15304961849861</v>
      </c>
      <c r="AA85" s="97">
        <f t="shared" si="36"/>
        <v>270.40695038150159</v>
      </c>
      <c r="AB85" s="97">
        <f t="shared" si="37"/>
        <v>330.40695038150159</v>
      </c>
      <c r="AC85" s="97">
        <f t="shared" si="38"/>
        <v>1181.2147366068452</v>
      </c>
      <c r="AD85" s="96"/>
      <c r="AE85" s="105">
        <f t="shared" si="30"/>
        <v>16.153049618498613</v>
      </c>
    </row>
    <row r="86" spans="5:31" x14ac:dyDescent="0.35">
      <c r="E86" s="100">
        <f t="shared" si="21"/>
        <v>1.0583333333333425</v>
      </c>
      <c r="F86" s="5">
        <v>20</v>
      </c>
      <c r="G86" s="5">
        <f t="shared" si="34"/>
        <v>140</v>
      </c>
      <c r="H86" s="106">
        <f t="shared" si="34"/>
        <v>3.8194444444444443E-3</v>
      </c>
      <c r="I86" s="110">
        <f t="shared" si="31"/>
        <v>1.7687499999999998E-2</v>
      </c>
      <c r="J86" s="5">
        <v>1.05</v>
      </c>
      <c r="K86" s="5">
        <v>0</v>
      </c>
      <c r="L86" s="5">
        <v>0</v>
      </c>
      <c r="N86" s="5">
        <f t="shared" si="23"/>
        <v>140</v>
      </c>
      <c r="O86" s="97">
        <f t="shared" si="24"/>
        <v>181.81818181818184</v>
      </c>
      <c r="P86" s="5">
        <f t="shared" si="25"/>
        <v>1.0049999999999999</v>
      </c>
      <c r="R86" s="96">
        <f t="shared" si="26"/>
        <v>4.0725057646924085</v>
      </c>
      <c r="S86" s="95">
        <f t="shared" si="27"/>
        <v>0.98737151504242804</v>
      </c>
      <c r="T86" s="96">
        <f t="shared" si="28"/>
        <v>60.099071555555561</v>
      </c>
      <c r="U86" s="97"/>
      <c r="V86" s="97">
        <f t="shared" si="32"/>
        <v>51.831891550630665</v>
      </c>
      <c r="W86" s="96">
        <f t="shared" si="22"/>
        <v>59.340111334452189</v>
      </c>
      <c r="X86" s="96">
        <f t="shared" si="35"/>
        <v>0.83023535299697571</v>
      </c>
      <c r="Y86" s="96">
        <f t="shared" si="29"/>
        <v>1.4636705201746634</v>
      </c>
      <c r="Z86" s="96">
        <f t="shared" si="33"/>
        <v>137.61672013867329</v>
      </c>
      <c r="AA86" s="97">
        <f t="shared" si="36"/>
        <v>268.94327986132691</v>
      </c>
      <c r="AB86" s="97">
        <f t="shared" si="37"/>
        <v>328.94327986132691</v>
      </c>
      <c r="AC86" s="97">
        <f t="shared" si="38"/>
        <v>1195.397363598827</v>
      </c>
      <c r="AD86" s="96"/>
      <c r="AE86" s="105">
        <f t="shared" si="30"/>
        <v>17.616720138673287</v>
      </c>
    </row>
    <row r="87" spans="5:31" x14ac:dyDescent="0.35">
      <c r="E87" s="100">
        <f t="shared" si="21"/>
        <v>1.059027777777787</v>
      </c>
      <c r="F87" s="5">
        <v>20</v>
      </c>
      <c r="G87" s="5">
        <f t="shared" si="34"/>
        <v>140</v>
      </c>
      <c r="H87" s="106">
        <f t="shared" si="34"/>
        <v>3.8194444444444443E-3</v>
      </c>
      <c r="I87" s="110">
        <f t="shared" si="31"/>
        <v>1.7687499999999998E-2</v>
      </c>
      <c r="J87" s="5">
        <v>1.05</v>
      </c>
      <c r="K87" s="5">
        <v>0</v>
      </c>
      <c r="L87" s="5">
        <v>0</v>
      </c>
      <c r="N87" s="5">
        <f t="shared" si="23"/>
        <v>140</v>
      </c>
      <c r="O87" s="97">
        <f t="shared" si="24"/>
        <v>181.81818181818184</v>
      </c>
      <c r="P87" s="5">
        <f t="shared" si="25"/>
        <v>1.0049999999999999</v>
      </c>
      <c r="R87" s="96">
        <f t="shared" si="26"/>
        <v>4.0725057646924085</v>
      </c>
      <c r="S87" s="95">
        <f t="shared" si="27"/>
        <v>0.98712879408457466</v>
      </c>
      <c r="T87" s="96">
        <f t="shared" si="28"/>
        <v>60.099071555555561</v>
      </c>
      <c r="U87" s="97"/>
      <c r="V87" s="97">
        <f t="shared" si="32"/>
        <v>51.831891550630665</v>
      </c>
      <c r="W87" s="96">
        <f t="shared" si="22"/>
        <v>59.325524030238121</v>
      </c>
      <c r="X87" s="96">
        <f t="shared" si="35"/>
        <v>0.82915531276662247</v>
      </c>
      <c r="Y87" s="96">
        <f t="shared" si="29"/>
        <v>1.451175494539618</v>
      </c>
      <c r="Z87" s="96">
        <f t="shared" si="33"/>
        <v>139.06789563321291</v>
      </c>
      <c r="AA87" s="97">
        <f t="shared" si="36"/>
        <v>267.49210436678732</v>
      </c>
      <c r="AB87" s="97">
        <f t="shared" si="37"/>
        <v>327.49210436678732</v>
      </c>
      <c r="AC87" s="97">
        <f t="shared" si="38"/>
        <v>1209.576504141427</v>
      </c>
      <c r="AD87" s="96"/>
      <c r="AE87" s="105">
        <f t="shared" si="30"/>
        <v>19.067895633212913</v>
      </c>
    </row>
    <row r="88" spans="5:31" x14ac:dyDescent="0.35">
      <c r="E88" s="100">
        <f t="shared" si="21"/>
        <v>1.0597222222222316</v>
      </c>
      <c r="F88" s="5">
        <v>20</v>
      </c>
      <c r="G88" s="5">
        <f t="shared" si="34"/>
        <v>140</v>
      </c>
      <c r="H88" s="106">
        <f t="shared" si="34"/>
        <v>3.8194444444444443E-3</v>
      </c>
      <c r="I88" s="110">
        <f t="shared" si="31"/>
        <v>1.7687499999999998E-2</v>
      </c>
      <c r="J88" s="5">
        <v>1.05</v>
      </c>
      <c r="K88" s="5">
        <v>0</v>
      </c>
      <c r="L88" s="5">
        <v>0</v>
      </c>
      <c r="N88" s="5">
        <f t="shared" si="23"/>
        <v>140</v>
      </c>
      <c r="O88" s="97">
        <f t="shared" si="24"/>
        <v>181.81818181818184</v>
      </c>
      <c r="P88" s="5">
        <f t="shared" si="25"/>
        <v>1.0049999999999999</v>
      </c>
      <c r="R88" s="96">
        <f t="shared" si="26"/>
        <v>4.0725057646924085</v>
      </c>
      <c r="S88" s="95">
        <f t="shared" si="27"/>
        <v>0.9868881451808813</v>
      </c>
      <c r="T88" s="96">
        <f t="shared" si="28"/>
        <v>60.099071555555561</v>
      </c>
      <c r="U88" s="97"/>
      <c r="V88" s="97">
        <f t="shared" si="32"/>
        <v>51.831891550630665</v>
      </c>
      <c r="W88" s="96">
        <f t="shared" si="22"/>
        <v>59.311061254555291</v>
      </c>
      <c r="X88" s="96">
        <f t="shared" si="35"/>
        <v>0.82808449259650763</v>
      </c>
      <c r="Y88" s="96">
        <f t="shared" si="29"/>
        <v>1.438793027679943</v>
      </c>
      <c r="Z88" s="96">
        <f t="shared" si="33"/>
        <v>140.50668866089285</v>
      </c>
      <c r="AA88" s="97">
        <f t="shared" si="36"/>
        <v>266.05331133910738</v>
      </c>
      <c r="AB88" s="97">
        <f t="shared" si="37"/>
        <v>326.05331133910738</v>
      </c>
      <c r="AC88" s="97">
        <f t="shared" si="38"/>
        <v>1223.7521879976782</v>
      </c>
      <c r="AD88" s="96"/>
      <c r="AE88" s="105">
        <f t="shared" si="30"/>
        <v>20.506688660892848</v>
      </c>
    </row>
    <row r="89" spans="5:31" x14ac:dyDescent="0.35">
      <c r="E89" s="100">
        <f t="shared" si="21"/>
        <v>1.0604166666666761</v>
      </c>
      <c r="F89" s="5">
        <v>20</v>
      </c>
      <c r="G89" s="5">
        <f t="shared" si="34"/>
        <v>140</v>
      </c>
      <c r="H89" s="106">
        <f t="shared" si="34"/>
        <v>3.8194444444444443E-3</v>
      </c>
      <c r="I89" s="110">
        <f t="shared" si="31"/>
        <v>1.7687499999999998E-2</v>
      </c>
      <c r="J89" s="5">
        <v>1.05</v>
      </c>
      <c r="K89" s="5">
        <v>0</v>
      </c>
      <c r="L89" s="5">
        <v>0</v>
      </c>
      <c r="N89" s="5">
        <f t="shared" si="23"/>
        <v>140</v>
      </c>
      <c r="O89" s="97">
        <f t="shared" si="24"/>
        <v>181.81818181818184</v>
      </c>
      <c r="P89" s="5">
        <f t="shared" si="25"/>
        <v>1.0049999999999999</v>
      </c>
      <c r="R89" s="96">
        <f t="shared" si="26"/>
        <v>4.0725057646924085</v>
      </c>
      <c r="S89" s="95">
        <f t="shared" si="27"/>
        <v>0.98664954966568996</v>
      </c>
      <c r="T89" s="96">
        <f t="shared" si="28"/>
        <v>60.099071555555561</v>
      </c>
      <c r="U89" s="97"/>
      <c r="V89" s="97">
        <f t="shared" si="32"/>
        <v>51.831891550630665</v>
      </c>
      <c r="W89" s="96">
        <f t="shared" si="22"/>
        <v>59.296721885614971</v>
      </c>
      <c r="X89" s="96">
        <f t="shared" si="35"/>
        <v>0.82702280942968365</v>
      </c>
      <c r="Y89" s="96">
        <f t="shared" si="29"/>
        <v>1.4265220083108756</v>
      </c>
      <c r="Z89" s="96">
        <f t="shared" si="33"/>
        <v>141.93321066920373</v>
      </c>
      <c r="AA89" s="97">
        <f t="shared" si="36"/>
        <v>264.6267893307965</v>
      </c>
      <c r="AB89" s="97">
        <f t="shared" si="37"/>
        <v>324.6267893307965</v>
      </c>
      <c r="AC89" s="97">
        <f t="shared" si="38"/>
        <v>1237.9244446625003</v>
      </c>
      <c r="AD89" s="96"/>
      <c r="AE89" s="105">
        <f t="shared" si="30"/>
        <v>21.933210669203731</v>
      </c>
    </row>
    <row r="90" spans="5:31" x14ac:dyDescent="0.35">
      <c r="E90" s="100">
        <f t="shared" si="21"/>
        <v>1.0611111111111207</v>
      </c>
      <c r="F90" s="5">
        <v>20</v>
      </c>
      <c r="G90" s="5">
        <f t="shared" si="34"/>
        <v>140</v>
      </c>
      <c r="H90" s="106">
        <f t="shared" si="34"/>
        <v>3.8194444444444443E-3</v>
      </c>
      <c r="I90" s="110">
        <f t="shared" si="31"/>
        <v>1.7687499999999998E-2</v>
      </c>
      <c r="J90" s="5">
        <v>1.05</v>
      </c>
      <c r="K90" s="5">
        <v>0</v>
      </c>
      <c r="L90" s="5">
        <v>0</v>
      </c>
      <c r="N90" s="5">
        <f t="shared" si="23"/>
        <v>140</v>
      </c>
      <c r="O90" s="97">
        <f t="shared" si="24"/>
        <v>181.81818181818184</v>
      </c>
      <c r="P90" s="5">
        <f t="shared" si="25"/>
        <v>1.0049999999999999</v>
      </c>
      <c r="R90" s="96">
        <f t="shared" si="26"/>
        <v>4.0725057646924085</v>
      </c>
      <c r="S90" s="95">
        <f t="shared" si="27"/>
        <v>0.9864129890576272</v>
      </c>
      <c r="T90" s="96">
        <f t="shared" si="28"/>
        <v>60.099071555555561</v>
      </c>
      <c r="U90" s="97"/>
      <c r="V90" s="97">
        <f t="shared" si="32"/>
        <v>51.831891550630665</v>
      </c>
      <c r="W90" s="96">
        <f t="shared" si="22"/>
        <v>59.282504812703785</v>
      </c>
      <c r="X90" s="96">
        <f t="shared" si="35"/>
        <v>0.82597018102921804</v>
      </c>
      <c r="Y90" s="96">
        <f t="shared" si="29"/>
        <v>1.4143613377124598</v>
      </c>
      <c r="Z90" s="96">
        <f t="shared" si="33"/>
        <v>143.34757200691618</v>
      </c>
      <c r="AA90" s="97">
        <f t="shared" si="36"/>
        <v>263.21242799308402</v>
      </c>
      <c r="AB90" s="97">
        <f t="shared" si="37"/>
        <v>323.21242799308402</v>
      </c>
      <c r="AC90" s="97">
        <f t="shared" si="38"/>
        <v>1252.0933033653453</v>
      </c>
      <c r="AD90" s="96"/>
      <c r="AE90" s="105">
        <f t="shared" si="30"/>
        <v>23.347572006916181</v>
      </c>
    </row>
    <row r="91" spans="5:31" x14ac:dyDescent="0.35">
      <c r="E91" s="100">
        <f t="shared" si="21"/>
        <v>1.0618055555555652</v>
      </c>
      <c r="F91" s="5">
        <v>20</v>
      </c>
      <c r="G91" s="5">
        <f t="shared" si="34"/>
        <v>140</v>
      </c>
      <c r="H91" s="106">
        <f t="shared" si="34"/>
        <v>3.8194444444444443E-3</v>
      </c>
      <c r="I91" s="110">
        <f t="shared" si="31"/>
        <v>1.7687499999999998E-2</v>
      </c>
      <c r="J91" s="5">
        <v>1.05</v>
      </c>
      <c r="K91" s="5">
        <v>0</v>
      </c>
      <c r="L91" s="5">
        <v>0</v>
      </c>
      <c r="N91" s="5">
        <f t="shared" si="23"/>
        <v>140</v>
      </c>
      <c r="O91" s="97">
        <f t="shared" si="24"/>
        <v>181.81818181818184</v>
      </c>
      <c r="P91" s="5">
        <f t="shared" si="25"/>
        <v>1.0049999999999999</v>
      </c>
      <c r="R91" s="96">
        <f t="shared" si="26"/>
        <v>4.0725057646924085</v>
      </c>
      <c r="S91" s="95">
        <f t="shared" si="27"/>
        <v>0.98617844505752006</v>
      </c>
      <c r="T91" s="96">
        <f t="shared" si="28"/>
        <v>60.099071555555561</v>
      </c>
      <c r="U91" s="97"/>
      <c r="V91" s="97">
        <f t="shared" si="32"/>
        <v>51.831891550630665</v>
      </c>
      <c r="W91" s="96">
        <f t="shared" si="22"/>
        <v>59.268408936058414</v>
      </c>
      <c r="X91" s="96">
        <f t="shared" si="35"/>
        <v>0.82492652596892257</v>
      </c>
      <c r="Y91" s="96">
        <f t="shared" si="29"/>
        <v>1.4023099295619748</v>
      </c>
      <c r="Z91" s="96">
        <f t="shared" si="33"/>
        <v>144.74988193647815</v>
      </c>
      <c r="AA91" s="97">
        <f t="shared" si="36"/>
        <v>261.81011806352205</v>
      </c>
      <c r="AB91" s="97">
        <f t="shared" si="37"/>
        <v>321.81011806352205</v>
      </c>
      <c r="AC91" s="97">
        <f t="shared" si="38"/>
        <v>1266.2587930728162</v>
      </c>
      <c r="AD91" s="96"/>
      <c r="AE91" s="105">
        <f t="shared" si="30"/>
        <v>24.749881936478147</v>
      </c>
    </row>
    <row r="92" spans="5:31" x14ac:dyDescent="0.35">
      <c r="E92" s="100">
        <f t="shared" si="21"/>
        <v>1.0625000000000098</v>
      </c>
      <c r="F92" s="5">
        <v>20</v>
      </c>
      <c r="G92" s="5">
        <f t="shared" si="34"/>
        <v>140</v>
      </c>
      <c r="H92" s="106">
        <f t="shared" si="34"/>
        <v>3.8194444444444443E-3</v>
      </c>
      <c r="I92" s="110">
        <f t="shared" si="31"/>
        <v>1.7687499999999998E-2</v>
      </c>
      <c r="J92" s="5">
        <v>1.05</v>
      </c>
      <c r="K92" s="5">
        <v>0</v>
      </c>
      <c r="L92" s="5">
        <v>0</v>
      </c>
      <c r="N92" s="5">
        <f t="shared" si="23"/>
        <v>140</v>
      </c>
      <c r="O92" s="97">
        <f t="shared" si="24"/>
        <v>181.81818181818184</v>
      </c>
      <c r="P92" s="5">
        <f t="shared" si="25"/>
        <v>1.0049999999999999</v>
      </c>
      <c r="R92" s="96">
        <f t="shared" si="26"/>
        <v>4.0725057646924085</v>
      </c>
      <c r="S92" s="95">
        <f t="shared" si="27"/>
        <v>0.9859458995463416</v>
      </c>
      <c r="T92" s="96">
        <f t="shared" si="28"/>
        <v>60.099071555555561</v>
      </c>
      <c r="U92" s="97"/>
      <c r="V92" s="97">
        <f t="shared" si="32"/>
        <v>51.831891550630665</v>
      </c>
      <c r="W92" s="96">
        <f t="shared" si="22"/>
        <v>59.254433166742182</v>
      </c>
      <c r="X92" s="96">
        <f t="shared" si="35"/>
        <v>0.82389176362420447</v>
      </c>
      <c r="Y92" s="96">
        <f t="shared" si="29"/>
        <v>1.390366709768986</v>
      </c>
      <c r="Z92" s="96">
        <f t="shared" si="33"/>
        <v>146.14024864624713</v>
      </c>
      <c r="AA92" s="97">
        <f t="shared" si="36"/>
        <v>260.41975135375304</v>
      </c>
      <c r="AB92" s="97">
        <f t="shared" si="37"/>
        <v>320.41975135375304</v>
      </c>
      <c r="AC92" s="97">
        <f t="shared" si="38"/>
        <v>1280.4209424912535</v>
      </c>
      <c r="AD92" s="96"/>
      <c r="AE92" s="105">
        <f t="shared" si="30"/>
        <v>26.14024864624713</v>
      </c>
    </row>
    <row r="93" spans="5:31" x14ac:dyDescent="0.35">
      <c r="E93" s="100">
        <f t="shared" si="21"/>
        <v>1.0631944444444543</v>
      </c>
      <c r="F93" s="5">
        <v>20</v>
      </c>
      <c r="G93" s="5">
        <f t="shared" si="34"/>
        <v>140</v>
      </c>
      <c r="H93" s="106">
        <f t="shared" si="34"/>
        <v>3.8194444444444443E-3</v>
      </c>
      <c r="I93" s="110">
        <f t="shared" si="31"/>
        <v>1.7687499999999998E-2</v>
      </c>
      <c r="J93" s="5">
        <v>1.05</v>
      </c>
      <c r="K93" s="5">
        <v>0</v>
      </c>
      <c r="L93" s="5">
        <v>0</v>
      </c>
      <c r="N93" s="5">
        <f t="shared" si="23"/>
        <v>140</v>
      </c>
      <c r="O93" s="97">
        <f t="shared" si="24"/>
        <v>181.81818181818184</v>
      </c>
      <c r="P93" s="5">
        <f t="shared" si="25"/>
        <v>1.0049999999999999</v>
      </c>
      <c r="R93" s="96">
        <f t="shared" si="26"/>
        <v>4.0725057646924085</v>
      </c>
      <c r="S93" s="95">
        <f t="shared" si="27"/>
        <v>0.98571533458318139</v>
      </c>
      <c r="T93" s="96">
        <f t="shared" si="28"/>
        <v>60.099071555555561</v>
      </c>
      <c r="U93" s="97"/>
      <c r="V93" s="97">
        <f t="shared" si="32"/>
        <v>51.831891550630665</v>
      </c>
      <c r="W93" s="96">
        <f t="shared" si="22"/>
        <v>59.240576426523006</v>
      </c>
      <c r="X93" s="96">
        <f t="shared" si="35"/>
        <v>0.82286581416304083</v>
      </c>
      <c r="Y93" s="96">
        <f t="shared" si="29"/>
        <v>1.3785306163129916</v>
      </c>
      <c r="Z93" s="96">
        <f t="shared" si="33"/>
        <v>147.51877926256012</v>
      </c>
      <c r="AA93" s="97">
        <f t="shared" si="36"/>
        <v>259.04122073744003</v>
      </c>
      <c r="AB93" s="97">
        <f t="shared" si="37"/>
        <v>319.04122073744003</v>
      </c>
      <c r="AC93" s="97">
        <f t="shared" si="38"/>
        <v>1294.5797800692944</v>
      </c>
      <c r="AD93" s="96"/>
      <c r="AE93" s="105">
        <f t="shared" si="30"/>
        <v>27.518779262560116</v>
      </c>
    </row>
    <row r="94" spans="5:31" x14ac:dyDescent="0.35">
      <c r="E94" s="100">
        <f t="shared" si="21"/>
        <v>1.0638888888888989</v>
      </c>
      <c r="F94" s="5">
        <v>20</v>
      </c>
      <c r="G94" s="5">
        <f t="shared" si="34"/>
        <v>140</v>
      </c>
      <c r="H94" s="106">
        <f t="shared" si="34"/>
        <v>3.8194444444444443E-3</v>
      </c>
      <c r="I94" s="110">
        <f t="shared" si="31"/>
        <v>1.7687499999999998E-2</v>
      </c>
      <c r="J94" s="5">
        <v>1.05</v>
      </c>
      <c r="K94" s="5">
        <v>0</v>
      </c>
      <c r="L94" s="5">
        <v>0</v>
      </c>
      <c r="N94" s="5">
        <f t="shared" si="23"/>
        <v>140</v>
      </c>
      <c r="O94" s="97">
        <f t="shared" si="24"/>
        <v>181.81818181818184</v>
      </c>
      <c r="P94" s="5">
        <f t="shared" si="25"/>
        <v>1.0049999999999999</v>
      </c>
      <c r="R94" s="96">
        <f t="shared" si="26"/>
        <v>4.0725057646924085</v>
      </c>
      <c r="S94" s="95">
        <f t="shared" si="27"/>
        <v>0.98548673240324414</v>
      </c>
      <c r="T94" s="96">
        <f t="shared" si="28"/>
        <v>60.099071555555561</v>
      </c>
      <c r="U94" s="97"/>
      <c r="V94" s="97">
        <f t="shared" si="32"/>
        <v>51.831891550630665</v>
      </c>
      <c r="W94" s="96">
        <f t="shared" si="22"/>
        <v>59.226837647753207</v>
      </c>
      <c r="X94" s="96">
        <f t="shared" si="35"/>
        <v>0.82184859853707193</v>
      </c>
      <c r="Y94" s="96">
        <f t="shared" si="29"/>
        <v>1.3668005990836023</v>
      </c>
      <c r="Z94" s="96">
        <f t="shared" si="33"/>
        <v>148.88557986164372</v>
      </c>
      <c r="AA94" s="97">
        <f t="shared" si="36"/>
        <v>257.67442013835642</v>
      </c>
      <c r="AB94" s="97">
        <f t="shared" si="37"/>
        <v>317.67442013835642</v>
      </c>
      <c r="AC94" s="97">
        <f t="shared" si="38"/>
        <v>1308.7353340004017</v>
      </c>
      <c r="AD94" s="96"/>
      <c r="AE94" s="105">
        <f t="shared" si="30"/>
        <v>28.88557986164372</v>
      </c>
    </row>
    <row r="95" spans="5:31" x14ac:dyDescent="0.35">
      <c r="E95" s="100">
        <f t="shared" si="21"/>
        <v>1.0645833333333434</v>
      </c>
      <c r="F95" s="5">
        <v>20</v>
      </c>
      <c r="G95" s="5">
        <f t="shared" si="34"/>
        <v>140</v>
      </c>
      <c r="H95" s="106">
        <f t="shared" si="34"/>
        <v>3.8194444444444443E-3</v>
      </c>
      <c r="I95" s="110">
        <f t="shared" si="31"/>
        <v>1.7687499999999998E-2</v>
      </c>
      <c r="J95" s="5">
        <v>1.05</v>
      </c>
      <c r="K95" s="5">
        <v>0</v>
      </c>
      <c r="L95" s="5">
        <v>0</v>
      </c>
      <c r="N95" s="5">
        <f t="shared" si="23"/>
        <v>140</v>
      </c>
      <c r="O95" s="97">
        <f t="shared" si="24"/>
        <v>181.81818181818184</v>
      </c>
      <c r="P95" s="5">
        <f t="shared" si="25"/>
        <v>1.0049999999999999</v>
      </c>
      <c r="R95" s="96">
        <f t="shared" si="26"/>
        <v>4.0725057646924085</v>
      </c>
      <c r="S95" s="95">
        <f t="shared" si="27"/>
        <v>0.98526007541587468</v>
      </c>
      <c r="T95" s="96">
        <f t="shared" si="28"/>
        <v>60.099071555555561</v>
      </c>
      <c r="U95" s="97"/>
      <c r="V95" s="97">
        <f t="shared" si="32"/>
        <v>51.831891550630665</v>
      </c>
      <c r="W95" s="96">
        <f t="shared" si="22"/>
        <v>59.213215773250724</v>
      </c>
      <c r="X95" s="96">
        <f t="shared" si="35"/>
        <v>0.82084003847281306</v>
      </c>
      <c r="Y95" s="96">
        <f t="shared" si="29"/>
        <v>1.3551756197232199</v>
      </c>
      <c r="Z95" s="96">
        <f t="shared" si="33"/>
        <v>150.24075548136693</v>
      </c>
      <c r="AA95" s="97">
        <f t="shared" si="36"/>
        <v>256.31924451863318</v>
      </c>
      <c r="AB95" s="97">
        <f t="shared" si="37"/>
        <v>316.31924451863318</v>
      </c>
      <c r="AC95" s="97">
        <f t="shared" si="38"/>
        <v>1322.8876322253661</v>
      </c>
      <c r="AD95" s="96"/>
      <c r="AE95" s="105">
        <f t="shared" si="30"/>
        <v>0.24075548136693214</v>
      </c>
    </row>
    <row r="96" spans="5:31" x14ac:dyDescent="0.35">
      <c r="E96" s="100">
        <f t="shared" si="21"/>
        <v>1.065277777777788</v>
      </c>
      <c r="F96" s="5">
        <v>20</v>
      </c>
      <c r="G96" s="5">
        <f t="shared" si="34"/>
        <v>140</v>
      </c>
      <c r="H96" s="106">
        <f t="shared" si="34"/>
        <v>3.8194444444444443E-3</v>
      </c>
      <c r="I96" s="110">
        <f t="shared" si="31"/>
        <v>1.7687499999999998E-2</v>
      </c>
      <c r="J96" s="5">
        <v>1.05</v>
      </c>
      <c r="K96" s="5">
        <v>0</v>
      </c>
      <c r="L96" s="5">
        <v>0</v>
      </c>
      <c r="N96" s="5">
        <f t="shared" si="23"/>
        <v>140</v>
      </c>
      <c r="O96" s="97">
        <f t="shared" si="24"/>
        <v>181.81818181818184</v>
      </c>
      <c r="P96" s="5">
        <f t="shared" si="25"/>
        <v>1.0049999999999999</v>
      </c>
      <c r="R96" s="96">
        <f t="shared" si="26"/>
        <v>4.0725057646924085</v>
      </c>
      <c r="S96" s="95">
        <f t="shared" si="27"/>
        <v>0.98503534620260902</v>
      </c>
      <c r="T96" s="96">
        <f t="shared" si="28"/>
        <v>60.099071555555561</v>
      </c>
      <c r="U96" s="97"/>
      <c r="V96" s="97">
        <f t="shared" si="32"/>
        <v>51.831891550630665</v>
      </c>
      <c r="W96" s="96">
        <f t="shared" si="22"/>
        <v>59.199709756182045</v>
      </c>
      <c r="X96" s="96">
        <f t="shared" si="35"/>
        <v>0.81984005646298186</v>
      </c>
      <c r="Y96" s="96">
        <f t="shared" si="29"/>
        <v>1.3436546514721586</v>
      </c>
      <c r="Z96" s="96">
        <f t="shared" si="33"/>
        <v>151.58441013283908</v>
      </c>
      <c r="AA96" s="97">
        <f t="shared" si="36"/>
        <v>254.97558986716103</v>
      </c>
      <c r="AB96" s="97">
        <f t="shared" si="37"/>
        <v>314.97558986716103</v>
      </c>
      <c r="AC96" s="97">
        <f t="shared" si="38"/>
        <v>1337.0367024347786</v>
      </c>
      <c r="AD96" s="96"/>
      <c r="AE96" s="105">
        <f t="shared" si="30"/>
        <v>1.5844101328390821</v>
      </c>
    </row>
    <row r="97" spans="5:31" x14ac:dyDescent="0.35">
      <c r="E97" s="100">
        <f t="shared" si="21"/>
        <v>1.0659722222222325</v>
      </c>
      <c r="F97" s="5">
        <v>20</v>
      </c>
      <c r="G97" s="5">
        <f t="shared" si="34"/>
        <v>140</v>
      </c>
      <c r="H97" s="106">
        <f t="shared" si="34"/>
        <v>3.8194444444444443E-3</v>
      </c>
      <c r="I97" s="110">
        <f t="shared" si="31"/>
        <v>1.7687499999999998E-2</v>
      </c>
      <c r="J97" s="5">
        <v>1.05</v>
      </c>
      <c r="K97" s="5">
        <v>0</v>
      </c>
      <c r="L97" s="5">
        <v>0</v>
      </c>
      <c r="N97" s="5">
        <f t="shared" si="23"/>
        <v>140</v>
      </c>
      <c r="O97" s="97">
        <f t="shared" si="24"/>
        <v>181.81818181818184</v>
      </c>
      <c r="P97" s="5">
        <f t="shared" si="25"/>
        <v>1.0049999999999999</v>
      </c>
      <c r="R97" s="96">
        <f t="shared" si="26"/>
        <v>4.0725057646924085</v>
      </c>
      <c r="S97" s="95">
        <f t="shared" si="27"/>
        <v>0.98481252751525128</v>
      </c>
      <c r="T97" s="96">
        <f t="shared" si="28"/>
        <v>60.099071555555561</v>
      </c>
      <c r="U97" s="97"/>
      <c r="V97" s="97">
        <f t="shared" si="32"/>
        <v>51.831891550630665</v>
      </c>
      <c r="W97" s="96">
        <f t="shared" si="22"/>
        <v>59.186318559946614</v>
      </c>
      <c r="X97" s="96">
        <f t="shared" si="35"/>
        <v>0.81884857575794046</v>
      </c>
      <c r="Y97" s="96">
        <f t="shared" si="29"/>
        <v>1.332236679016177</v>
      </c>
      <c r="Z97" s="96">
        <f t="shared" si="33"/>
        <v>152.91664681185526</v>
      </c>
      <c r="AA97" s="97">
        <f t="shared" si="36"/>
        <v>253.64335318814486</v>
      </c>
      <c r="AB97" s="97">
        <f t="shared" si="37"/>
        <v>313.64335318814483</v>
      </c>
      <c r="AC97" s="97">
        <f t="shared" si="38"/>
        <v>1351.1825720714771</v>
      </c>
      <c r="AD97" s="96"/>
      <c r="AE97" s="105">
        <f t="shared" si="30"/>
        <v>2.9166468118552586</v>
      </c>
    </row>
    <row r="98" spans="5:31" x14ac:dyDescent="0.35">
      <c r="E98" s="100">
        <f t="shared" si="21"/>
        <v>1.0666666666666771</v>
      </c>
      <c r="F98" s="5">
        <v>20</v>
      </c>
      <c r="G98" s="5">
        <f t="shared" si="34"/>
        <v>140</v>
      </c>
      <c r="H98" s="106">
        <f t="shared" si="34"/>
        <v>3.8194444444444443E-3</v>
      </c>
      <c r="I98" s="110">
        <f t="shared" si="31"/>
        <v>1.7687499999999998E-2</v>
      </c>
      <c r="J98" s="5">
        <v>1.05</v>
      </c>
      <c r="K98" s="5">
        <v>0</v>
      </c>
      <c r="L98" s="5">
        <v>0</v>
      </c>
      <c r="N98" s="5">
        <f t="shared" si="23"/>
        <v>140</v>
      </c>
      <c r="O98" s="97">
        <f t="shared" si="24"/>
        <v>181.81818181818184</v>
      </c>
      <c r="P98" s="5">
        <f t="shared" si="25"/>
        <v>1.0049999999999999</v>
      </c>
      <c r="R98" s="96">
        <f t="shared" si="26"/>
        <v>4.0725057646924085</v>
      </c>
      <c r="S98" s="95">
        <f t="shared" si="27"/>
        <v>0.98459160227397513</v>
      </c>
      <c r="T98" s="96">
        <f t="shared" si="28"/>
        <v>60.099071555555561</v>
      </c>
      <c r="U98" s="97"/>
      <c r="V98" s="97">
        <f t="shared" si="32"/>
        <v>51.831891550630665</v>
      </c>
      <c r="W98" s="96">
        <f t="shared" si="22"/>
        <v>59.17304115806273</v>
      </c>
      <c r="X98" s="96">
        <f t="shared" si="35"/>
        <v>0.81786552035724958</v>
      </c>
      <c r="Y98" s="96">
        <f t="shared" si="29"/>
        <v>1.3209206983363659</v>
      </c>
      <c r="Z98" s="96">
        <f t="shared" si="33"/>
        <v>154.23756751019164</v>
      </c>
      <c r="AA98" s="97">
        <f t="shared" si="36"/>
        <v>252.32243248980848</v>
      </c>
      <c r="AB98" s="97">
        <f t="shared" si="37"/>
        <v>312.32243248980848</v>
      </c>
      <c r="AC98" s="97">
        <f t="shared" si="38"/>
        <v>1365.3252683329645</v>
      </c>
      <c r="AD98" s="96"/>
      <c r="AE98" s="105">
        <f t="shared" si="30"/>
        <v>4.2375675101916386</v>
      </c>
    </row>
    <row r="99" spans="5:31" x14ac:dyDescent="0.35">
      <c r="E99" s="100">
        <f t="shared" si="21"/>
        <v>1.0673611111111216</v>
      </c>
      <c r="F99" s="5">
        <v>20</v>
      </c>
      <c r="G99" s="5">
        <f t="shared" si="34"/>
        <v>140</v>
      </c>
      <c r="H99" s="106">
        <f t="shared" si="34"/>
        <v>3.8194444444444443E-3</v>
      </c>
      <c r="I99" s="110">
        <f t="shared" si="31"/>
        <v>1.7687499999999998E-2</v>
      </c>
      <c r="J99" s="5">
        <v>1.05</v>
      </c>
      <c r="K99" s="5">
        <v>0</v>
      </c>
      <c r="L99" s="5">
        <v>0</v>
      </c>
      <c r="N99" s="5">
        <f t="shared" si="23"/>
        <v>140</v>
      </c>
      <c r="O99" s="97">
        <f t="shared" si="24"/>
        <v>181.81818181818184</v>
      </c>
      <c r="P99" s="5">
        <f t="shared" si="25"/>
        <v>1.0049999999999999</v>
      </c>
      <c r="R99" s="96">
        <f t="shared" si="26"/>
        <v>4.0725057646924085</v>
      </c>
      <c r="S99" s="95">
        <f t="shared" si="27"/>
        <v>0.98437255356545128</v>
      </c>
      <c r="T99" s="96">
        <f t="shared" si="28"/>
        <v>60.099071555555561</v>
      </c>
      <c r="U99" s="97"/>
      <c r="V99" s="97">
        <f t="shared" si="32"/>
        <v>51.831891550630665</v>
      </c>
      <c r="W99" s="96">
        <f t="shared" si="22"/>
        <v>59.159876534055009</v>
      </c>
      <c r="X99" s="96">
        <f t="shared" si="35"/>
        <v>0.81689081500133431</v>
      </c>
      <c r="Y99" s="96">
        <f t="shared" si="29"/>
        <v>1.3097057165613646</v>
      </c>
      <c r="Z99" s="96">
        <f t="shared" si="33"/>
        <v>155.54727322675299</v>
      </c>
      <c r="AA99" s="97">
        <f t="shared" si="36"/>
        <v>251.01272677324712</v>
      </c>
      <c r="AB99" s="97">
        <f t="shared" si="37"/>
        <v>311.0127267732471</v>
      </c>
      <c r="AC99" s="97">
        <f t="shared" si="38"/>
        <v>1379.4648181737998</v>
      </c>
      <c r="AD99" s="96"/>
      <c r="AE99" s="105">
        <f t="shared" si="30"/>
        <v>5.5472732267529921</v>
      </c>
    </row>
    <row r="100" spans="5:31" x14ac:dyDescent="0.35">
      <c r="E100" s="100">
        <f t="shared" si="21"/>
        <v>1.0680555555555662</v>
      </c>
      <c r="F100" s="5">
        <v>20</v>
      </c>
      <c r="G100" s="5">
        <f t="shared" si="34"/>
        <v>140</v>
      </c>
      <c r="H100" s="106">
        <f t="shared" si="34"/>
        <v>3.8194444444444443E-3</v>
      </c>
      <c r="I100" s="110">
        <f t="shared" si="31"/>
        <v>1.7687499999999998E-2</v>
      </c>
      <c r="J100" s="5">
        <v>1.05</v>
      </c>
      <c r="K100" s="5">
        <v>0</v>
      </c>
      <c r="L100" s="5">
        <v>0</v>
      </c>
      <c r="N100" s="5">
        <f t="shared" si="23"/>
        <v>140</v>
      </c>
      <c r="O100" s="97">
        <f t="shared" si="24"/>
        <v>181.81818181818184</v>
      </c>
      <c r="P100" s="5">
        <f t="shared" si="25"/>
        <v>1.0049999999999999</v>
      </c>
      <c r="R100" s="96">
        <f t="shared" si="26"/>
        <v>4.0725057646924085</v>
      </c>
      <c r="S100" s="95">
        <f t="shared" si="27"/>
        <v>0.98415536464099851</v>
      </c>
      <c r="T100" s="96">
        <f t="shared" si="28"/>
        <v>60.099071555555561</v>
      </c>
      <c r="U100" s="97"/>
      <c r="V100" s="97">
        <f t="shared" si="32"/>
        <v>51.831891550630665</v>
      </c>
      <c r="W100" s="96">
        <f t="shared" si="22"/>
        <v>59.146823681343243</v>
      </c>
      <c r="X100" s="96">
        <f t="shared" si="35"/>
        <v>0.81592438516325783</v>
      </c>
      <c r="Y100" s="96">
        <f t="shared" si="29"/>
        <v>1.298590751821844</v>
      </c>
      <c r="Z100" s="96">
        <f t="shared" si="33"/>
        <v>156.84586397857484</v>
      </c>
      <c r="AA100" s="97">
        <f t="shared" si="36"/>
        <v>249.71413602142528</v>
      </c>
      <c r="AB100" s="97">
        <f t="shared" si="37"/>
        <v>309.71413602142525</v>
      </c>
      <c r="AC100" s="97">
        <f t="shared" si="38"/>
        <v>1393.6012483079642</v>
      </c>
      <c r="AD100" s="96"/>
      <c r="AE100" s="105">
        <f t="shared" si="30"/>
        <v>6.8458639785748403</v>
      </c>
    </row>
    <row r="101" spans="5:31" x14ac:dyDescent="0.35">
      <c r="E101" s="100">
        <f t="shared" si="21"/>
        <v>1.0687500000000107</v>
      </c>
      <c r="F101" s="5">
        <v>20</v>
      </c>
      <c r="G101" s="5">
        <f t="shared" si="34"/>
        <v>140</v>
      </c>
      <c r="H101" s="106">
        <f t="shared" si="34"/>
        <v>3.8194444444444443E-3</v>
      </c>
      <c r="I101" s="110">
        <f t="shared" si="31"/>
        <v>1.7687499999999998E-2</v>
      </c>
      <c r="J101" s="5">
        <v>1.05</v>
      </c>
      <c r="K101" s="5">
        <v>0</v>
      </c>
      <c r="L101" s="5">
        <v>0</v>
      </c>
      <c r="N101" s="5">
        <f t="shared" si="23"/>
        <v>140</v>
      </c>
      <c r="O101" s="97">
        <f t="shared" si="24"/>
        <v>181.81818181818184</v>
      </c>
      <c r="P101" s="5">
        <f t="shared" si="25"/>
        <v>1.0049999999999999</v>
      </c>
      <c r="R101" s="96">
        <f t="shared" si="26"/>
        <v>4.0725057646924085</v>
      </c>
      <c r="S101" s="95">
        <f t="shared" si="27"/>
        <v>0.98394001891475924</v>
      </c>
      <c r="T101" s="96">
        <f t="shared" si="28"/>
        <v>60.099071555555561</v>
      </c>
      <c r="U101" s="97"/>
      <c r="V101" s="97">
        <f t="shared" si="32"/>
        <v>51.831891550630665</v>
      </c>
      <c r="W101" s="96">
        <f t="shared" si="22"/>
        <v>59.133881603132807</v>
      </c>
      <c r="X101" s="96">
        <f t="shared" si="35"/>
        <v>0.81496615704060293</v>
      </c>
      <c r="Y101" s="96">
        <f t="shared" si="29"/>
        <v>1.2875748331072328</v>
      </c>
      <c r="Z101" s="96">
        <f t="shared" si="33"/>
        <v>158.13343881168208</v>
      </c>
      <c r="AA101" s="97">
        <f t="shared" si="36"/>
        <v>248.42656118831803</v>
      </c>
      <c r="AB101" s="97">
        <f t="shared" si="37"/>
        <v>308.42656118831803</v>
      </c>
      <c r="AC101" s="97">
        <f t="shared" si="38"/>
        <v>1407.7345852111987</v>
      </c>
      <c r="AD101" s="96"/>
      <c r="AE101" s="105">
        <f t="shared" si="30"/>
        <v>8.1334388116820833</v>
      </c>
    </row>
    <row r="102" spans="5:31" x14ac:dyDescent="0.35">
      <c r="E102" s="100">
        <f t="shared" si="21"/>
        <v>1.0694444444444553</v>
      </c>
      <c r="F102" s="5">
        <v>20</v>
      </c>
      <c r="G102" s="5">
        <f t="shared" si="34"/>
        <v>140</v>
      </c>
      <c r="H102" s="106">
        <f t="shared" si="34"/>
        <v>3.8194444444444443E-3</v>
      </c>
      <c r="I102" s="110">
        <f t="shared" si="31"/>
        <v>1.7687499999999998E-2</v>
      </c>
      <c r="J102" s="5">
        <v>1.05</v>
      </c>
      <c r="K102" s="5">
        <v>0</v>
      </c>
      <c r="L102" s="5">
        <v>0</v>
      </c>
      <c r="N102" s="5">
        <f t="shared" si="23"/>
        <v>140</v>
      </c>
      <c r="O102" s="97">
        <f t="shared" si="24"/>
        <v>181.81818181818184</v>
      </c>
      <c r="P102" s="5">
        <f t="shared" si="25"/>
        <v>1.0049999999999999</v>
      </c>
      <c r="R102" s="96">
        <f t="shared" si="26"/>
        <v>4.0725057646924085</v>
      </c>
      <c r="S102" s="95">
        <f t="shared" si="27"/>
        <v>0.98372649996189931</v>
      </c>
      <c r="T102" s="96">
        <f t="shared" si="28"/>
        <v>60.099071555555561</v>
      </c>
      <c r="U102" s="97"/>
      <c r="V102" s="97">
        <f t="shared" si="32"/>
        <v>51.831891550630665</v>
      </c>
      <c r="W102" s="96">
        <f t="shared" si="22"/>
        <v>59.121049312306411</v>
      </c>
      <c r="X102" s="96">
        <f t="shared" si="35"/>
        <v>0.81401605754746009</v>
      </c>
      <c r="Y102" s="96">
        <f t="shared" si="29"/>
        <v>1.2766570001246507</v>
      </c>
      <c r="Z102" s="96">
        <f t="shared" si="33"/>
        <v>159.41009581180674</v>
      </c>
      <c r="AA102" s="97">
        <f t="shared" si="36"/>
        <v>247.14990418819337</v>
      </c>
      <c r="AB102" s="97">
        <f t="shared" si="37"/>
        <v>307.14990418819337</v>
      </c>
      <c r="AC102" s="97">
        <f t="shared" si="38"/>
        <v>1421.8648551233177</v>
      </c>
      <c r="AD102" s="96"/>
      <c r="AE102" s="105">
        <f t="shared" si="30"/>
        <v>9.410095811806741</v>
      </c>
    </row>
    <row r="103" spans="5:31" x14ac:dyDescent="0.35">
      <c r="E103" s="100">
        <f t="shared" si="21"/>
        <v>1.0701388888888999</v>
      </c>
      <c r="F103" s="5">
        <v>20</v>
      </c>
      <c r="G103" s="5">
        <f t="shared" si="34"/>
        <v>140</v>
      </c>
      <c r="H103" s="106">
        <f t="shared" si="34"/>
        <v>3.8194444444444443E-3</v>
      </c>
      <c r="I103" s="110">
        <f t="shared" si="31"/>
        <v>1.7687499999999998E-2</v>
      </c>
      <c r="J103" s="5">
        <v>1.05</v>
      </c>
      <c r="K103" s="5">
        <v>0</v>
      </c>
      <c r="L103" s="5">
        <v>0</v>
      </c>
      <c r="N103" s="5">
        <f t="shared" si="23"/>
        <v>140</v>
      </c>
      <c r="O103" s="97">
        <f t="shared" si="24"/>
        <v>181.81818181818184</v>
      </c>
      <c r="P103" s="5">
        <f t="shared" si="25"/>
        <v>1.0049999999999999</v>
      </c>
      <c r="R103" s="96">
        <f t="shared" si="26"/>
        <v>4.0725057646924085</v>
      </c>
      <c r="S103" s="95">
        <f t="shared" si="27"/>
        <v>0.98351479151682941</v>
      </c>
      <c r="T103" s="96">
        <f t="shared" si="28"/>
        <v>60.099071555555561</v>
      </c>
      <c r="U103" s="97"/>
      <c r="V103" s="97">
        <f t="shared" si="32"/>
        <v>51.831891550630665</v>
      </c>
      <c r="W103" s="96">
        <f t="shared" si="22"/>
        <v>59.108325831317238</v>
      </c>
      <c r="X103" s="96">
        <f t="shared" si="35"/>
        <v>0.81307401430651804</v>
      </c>
      <c r="Y103" s="96">
        <f t="shared" si="29"/>
        <v>1.2658363031599806</v>
      </c>
      <c r="Z103" s="96">
        <f t="shared" si="33"/>
        <v>160.67593211496671</v>
      </c>
      <c r="AA103" s="97">
        <f t="shared" si="36"/>
        <v>245.8840678850334</v>
      </c>
      <c r="AB103" s="97">
        <f t="shared" si="37"/>
        <v>305.8840678850334</v>
      </c>
      <c r="AC103" s="97">
        <f t="shared" si="38"/>
        <v>1435.9920840504967</v>
      </c>
      <c r="AD103" s="96"/>
      <c r="AE103" s="105">
        <f t="shared" si="30"/>
        <v>10.675932114966713</v>
      </c>
    </row>
    <row r="104" spans="5:31" x14ac:dyDescent="0.35">
      <c r="E104" s="100">
        <f t="shared" si="21"/>
        <v>1.0708333333333444</v>
      </c>
      <c r="F104" s="5">
        <v>20</v>
      </c>
      <c r="G104" s="5">
        <f t="shared" si="34"/>
        <v>140</v>
      </c>
      <c r="H104" s="106">
        <f t="shared" si="34"/>
        <v>3.8194444444444443E-3</v>
      </c>
      <c r="I104" s="110">
        <f t="shared" si="31"/>
        <v>1.7687499999999998E-2</v>
      </c>
      <c r="J104" s="5">
        <v>1.05</v>
      </c>
      <c r="K104" s="5">
        <v>0</v>
      </c>
      <c r="L104" s="5">
        <v>0</v>
      </c>
      <c r="N104" s="5">
        <f t="shared" si="23"/>
        <v>140</v>
      </c>
      <c r="O104" s="97">
        <f t="shared" si="24"/>
        <v>181.81818181818184</v>
      </c>
      <c r="P104" s="5">
        <f t="shared" si="25"/>
        <v>1.0049999999999999</v>
      </c>
      <c r="R104" s="96">
        <f t="shared" si="26"/>
        <v>4.0725057646924085</v>
      </c>
      <c r="S104" s="95">
        <f t="shared" si="27"/>
        <v>0.98330487747145257</v>
      </c>
      <c r="T104" s="96">
        <f t="shared" si="28"/>
        <v>60.099071555555561</v>
      </c>
      <c r="U104" s="97"/>
      <c r="V104" s="97">
        <f t="shared" si="32"/>
        <v>51.831891550630665</v>
      </c>
      <c r="W104" s="96">
        <f t="shared" si="22"/>
        <v>59.095710192083622</v>
      </c>
      <c r="X104" s="96">
        <f t="shared" si="35"/>
        <v>0.81213995564125829</v>
      </c>
      <c r="Y104" s="96">
        <f t="shared" si="29"/>
        <v>1.2551118029410824</v>
      </c>
      <c r="Z104" s="96">
        <f t="shared" si="33"/>
        <v>161.9310439179078</v>
      </c>
      <c r="AA104" s="97">
        <f t="shared" si="36"/>
        <v>244.62895608209232</v>
      </c>
      <c r="AB104" s="97">
        <f t="shared" si="37"/>
        <v>304.62895608209232</v>
      </c>
      <c r="AC104" s="97">
        <f t="shared" si="38"/>
        <v>1450.116297767534</v>
      </c>
      <c r="AD104" s="96"/>
      <c r="AE104" s="105">
        <f t="shared" si="30"/>
        <v>11.9310439179078</v>
      </c>
    </row>
    <row r="105" spans="5:31" x14ac:dyDescent="0.35">
      <c r="E105" s="100">
        <f t="shared" si="21"/>
        <v>1.071527777777789</v>
      </c>
      <c r="F105" s="5">
        <v>20</v>
      </c>
      <c r="G105" s="5">
        <f t="shared" si="34"/>
        <v>140</v>
      </c>
      <c r="H105" s="106">
        <f t="shared" si="34"/>
        <v>3.8194444444444443E-3</v>
      </c>
      <c r="I105" s="110">
        <f t="shared" si="31"/>
        <v>1.7687499999999998E-2</v>
      </c>
      <c r="J105" s="5">
        <v>1.05</v>
      </c>
      <c r="K105" s="5">
        <v>0</v>
      </c>
      <c r="L105" s="5">
        <v>0</v>
      </c>
      <c r="N105" s="5">
        <f t="shared" si="23"/>
        <v>140</v>
      </c>
      <c r="O105" s="97">
        <f t="shared" si="24"/>
        <v>181.81818181818184</v>
      </c>
      <c r="P105" s="5">
        <f t="shared" si="25"/>
        <v>1.0049999999999999</v>
      </c>
      <c r="R105" s="96">
        <f t="shared" si="26"/>
        <v>4.0725057646924085</v>
      </c>
      <c r="S105" s="95">
        <f t="shared" si="27"/>
        <v>0.98309674187343088</v>
      </c>
      <c r="T105" s="96">
        <f t="shared" si="28"/>
        <v>60.099071555555561</v>
      </c>
      <c r="U105" s="97"/>
      <c r="V105" s="97">
        <f t="shared" si="32"/>
        <v>51.831891550630665</v>
      </c>
      <c r="W105" s="96">
        <f t="shared" si="22"/>
        <v>59.08320143588486</v>
      </c>
      <c r="X105" s="96">
        <f t="shared" si="35"/>
        <v>0.81121381056824982</v>
      </c>
      <c r="Y105" s="96">
        <f t="shared" si="29"/>
        <v>1.2444825705030771</v>
      </c>
      <c r="Z105" s="96">
        <f t="shared" si="33"/>
        <v>163.17552648841087</v>
      </c>
      <c r="AA105" s="97">
        <f t="shared" si="36"/>
        <v>243.38447351158925</v>
      </c>
      <c r="AB105" s="97">
        <f t="shared" si="37"/>
        <v>303.38447351158925</v>
      </c>
      <c r="AC105" s="97">
        <f t="shared" si="38"/>
        <v>1464.2375218200877</v>
      </c>
      <c r="AD105" s="96"/>
      <c r="AE105" s="105">
        <f t="shared" si="30"/>
        <v>13.175526488410867</v>
      </c>
    </row>
    <row r="106" spans="5:31" x14ac:dyDescent="0.35">
      <c r="E106" s="100">
        <f t="shared" si="21"/>
        <v>1.0722222222222335</v>
      </c>
      <c r="F106" s="5">
        <v>20</v>
      </c>
      <c r="G106" s="5">
        <f t="shared" si="34"/>
        <v>140</v>
      </c>
      <c r="H106" s="106">
        <f t="shared" si="34"/>
        <v>3.8194444444444443E-3</v>
      </c>
      <c r="I106" s="110">
        <f t="shared" si="31"/>
        <v>1.7687499999999998E-2</v>
      </c>
      <c r="J106" s="5">
        <v>1.05</v>
      </c>
      <c r="K106" s="5">
        <v>0</v>
      </c>
      <c r="L106" s="5">
        <v>0</v>
      </c>
      <c r="N106" s="5">
        <f t="shared" si="23"/>
        <v>140</v>
      </c>
      <c r="O106" s="97">
        <f t="shared" si="24"/>
        <v>181.81818181818184</v>
      </c>
      <c r="P106" s="5">
        <f t="shared" si="25"/>
        <v>1.0049999999999999</v>
      </c>
      <c r="R106" s="96">
        <f t="shared" si="26"/>
        <v>4.0725057646924085</v>
      </c>
      <c r="S106" s="95">
        <f t="shared" si="27"/>
        <v>0.98289036892447768</v>
      </c>
      <c r="T106" s="96">
        <f t="shared" si="28"/>
        <v>60.099071555555561</v>
      </c>
      <c r="U106" s="97"/>
      <c r="V106" s="97">
        <f t="shared" si="32"/>
        <v>51.831891550630665</v>
      </c>
      <c r="W106" s="96">
        <f t="shared" si="22"/>
        <v>59.070798613258589</v>
      </c>
      <c r="X106" s="96">
        <f t="shared" si="35"/>
        <v>0.81029550878954326</v>
      </c>
      <c r="Y106" s="96">
        <f t="shared" si="29"/>
        <v>1.2339476870556827</v>
      </c>
      <c r="Z106" s="96">
        <f t="shared" si="33"/>
        <v>164.40947417546656</v>
      </c>
      <c r="AA106" s="97">
        <f t="shared" si="36"/>
        <v>242.15052582453356</v>
      </c>
      <c r="AB106" s="97">
        <f t="shared" si="37"/>
        <v>302.15052582453359</v>
      </c>
      <c r="AC106" s="97">
        <f t="shared" si="38"/>
        <v>1478.3557815268896</v>
      </c>
      <c r="AD106" s="96"/>
      <c r="AE106" s="105">
        <f t="shared" si="30"/>
        <v>14.409474175466556</v>
      </c>
    </row>
    <row r="107" spans="5:31" x14ac:dyDescent="0.35">
      <c r="E107" s="100">
        <f t="shared" si="21"/>
        <v>1.0729166666666781</v>
      </c>
      <c r="F107" s="5">
        <v>20</v>
      </c>
      <c r="G107" s="5">
        <f t="shared" si="34"/>
        <v>140</v>
      </c>
      <c r="H107" s="106">
        <f t="shared" si="34"/>
        <v>3.8194444444444443E-3</v>
      </c>
      <c r="I107" s="110">
        <f t="shared" si="31"/>
        <v>1.7687499999999998E-2</v>
      </c>
      <c r="J107" s="5">
        <v>1.05</v>
      </c>
      <c r="K107" s="5">
        <v>0</v>
      </c>
      <c r="L107" s="5">
        <v>0</v>
      </c>
      <c r="N107" s="5">
        <f t="shared" si="23"/>
        <v>140</v>
      </c>
      <c r="O107" s="97">
        <f t="shared" si="24"/>
        <v>181.81818181818184</v>
      </c>
      <c r="P107" s="5">
        <f t="shared" si="25"/>
        <v>1.0049999999999999</v>
      </c>
      <c r="R107" s="96">
        <f t="shared" si="26"/>
        <v>4.0725057646924085</v>
      </c>
      <c r="S107" s="95">
        <f t="shared" si="27"/>
        <v>0.98268574297866895</v>
      </c>
      <c r="T107" s="96">
        <f t="shared" si="28"/>
        <v>60.099071555555561</v>
      </c>
      <c r="U107" s="97"/>
      <c r="V107" s="97">
        <f t="shared" si="32"/>
        <v>51.831891550630665</v>
      </c>
      <c r="W107" s="96">
        <f t="shared" si="22"/>
        <v>59.058500783899305</v>
      </c>
      <c r="X107" s="96">
        <f t="shared" si="35"/>
        <v>0.8093849806851634</v>
      </c>
      <c r="Y107" s="96">
        <f t="shared" si="29"/>
        <v>1.2235062438525635</v>
      </c>
      <c r="Z107" s="96">
        <f t="shared" si="33"/>
        <v>165.63298041931913</v>
      </c>
      <c r="AA107" s="97">
        <f t="shared" si="36"/>
        <v>240.92701958068099</v>
      </c>
      <c r="AB107" s="97">
        <f t="shared" si="37"/>
        <v>300.92701958068102</v>
      </c>
      <c r="AC107" s="97">
        <f t="shared" si="38"/>
        <v>1492.4711019819324</v>
      </c>
      <c r="AD107" s="96"/>
      <c r="AE107" s="105">
        <f t="shared" si="30"/>
        <v>15.632980419319125</v>
      </c>
    </row>
    <row r="108" spans="5:31" x14ac:dyDescent="0.35">
      <c r="E108" s="100">
        <f t="shared" si="21"/>
        <v>1.0736111111111226</v>
      </c>
      <c r="F108" s="5">
        <v>20</v>
      </c>
      <c r="G108" s="5">
        <f t="shared" si="34"/>
        <v>140</v>
      </c>
      <c r="H108" s="106">
        <f t="shared" si="34"/>
        <v>3.8194444444444443E-3</v>
      </c>
      <c r="I108" s="110">
        <f t="shared" si="31"/>
        <v>1.7687499999999998E-2</v>
      </c>
      <c r="J108" s="5">
        <v>1.05</v>
      </c>
      <c r="K108" s="5">
        <v>0</v>
      </c>
      <c r="L108" s="5">
        <v>0</v>
      </c>
      <c r="N108" s="5">
        <f t="shared" si="23"/>
        <v>140</v>
      </c>
      <c r="O108" s="97">
        <f t="shared" si="24"/>
        <v>181.81818181818184</v>
      </c>
      <c r="P108" s="5">
        <f t="shared" si="25"/>
        <v>1.0049999999999999</v>
      </c>
      <c r="R108" s="96">
        <f t="shared" si="26"/>
        <v>4.0725057646924085</v>
      </c>
      <c r="S108" s="95">
        <f t="shared" si="27"/>
        <v>0.98248284854077828</v>
      </c>
      <c r="T108" s="96">
        <f t="shared" si="28"/>
        <v>60.099071555555561</v>
      </c>
      <c r="U108" s="97"/>
      <c r="V108" s="97">
        <f t="shared" si="32"/>
        <v>51.831891550630665</v>
      </c>
      <c r="W108" s="96">
        <f t="shared" si="22"/>
        <v>59.046307016558288</v>
      </c>
      <c r="X108" s="96">
        <f t="shared" si="35"/>
        <v>0.80848215730569717</v>
      </c>
      <c r="Y108" s="96">
        <f t="shared" si="29"/>
        <v>1.2131573420626456</v>
      </c>
      <c r="Z108" s="96">
        <f t="shared" si="33"/>
        <v>166.84613776138178</v>
      </c>
      <c r="AA108" s="97">
        <f t="shared" si="36"/>
        <v>239.71386223861833</v>
      </c>
      <c r="AB108" s="97">
        <f t="shared" si="37"/>
        <v>299.71386223861839</v>
      </c>
      <c r="AC108" s="97">
        <f t="shared" si="38"/>
        <v>1506.5835080566355</v>
      </c>
      <c r="AD108" s="96"/>
      <c r="AE108" s="105">
        <f t="shared" si="30"/>
        <v>16.846137761381783</v>
      </c>
    </row>
    <row r="109" spans="5:31" x14ac:dyDescent="0.35">
      <c r="E109" s="100">
        <f t="shared" si="21"/>
        <v>1.0743055555555672</v>
      </c>
      <c r="F109" s="5">
        <v>20</v>
      </c>
      <c r="G109" s="5">
        <f t="shared" si="34"/>
        <v>140</v>
      </c>
      <c r="H109" s="106">
        <f t="shared" si="34"/>
        <v>3.8194444444444443E-3</v>
      </c>
      <c r="I109" s="110">
        <f t="shared" si="31"/>
        <v>1.7687499999999998E-2</v>
      </c>
      <c r="J109" s="5">
        <v>1.05</v>
      </c>
      <c r="K109" s="5">
        <v>0</v>
      </c>
      <c r="L109" s="5">
        <v>0</v>
      </c>
      <c r="N109" s="5">
        <f t="shared" si="23"/>
        <v>140</v>
      </c>
      <c r="O109" s="97">
        <f t="shared" si="24"/>
        <v>181.81818181818184</v>
      </c>
      <c r="P109" s="5">
        <f t="shared" si="25"/>
        <v>1.0049999999999999</v>
      </c>
      <c r="R109" s="96">
        <f t="shared" si="26"/>
        <v>4.0725057646924085</v>
      </c>
      <c r="S109" s="95">
        <f t="shared" si="27"/>
        <v>0.98228167026463375</v>
      </c>
      <c r="T109" s="96">
        <f t="shared" si="28"/>
        <v>60.099071555555561</v>
      </c>
      <c r="U109" s="97"/>
      <c r="V109" s="97">
        <f t="shared" si="32"/>
        <v>51.831891550630665</v>
      </c>
      <c r="W109" s="96">
        <f t="shared" si="22"/>
        <v>59.034216388944856</v>
      </c>
      <c r="X109" s="96">
        <f t="shared" si="35"/>
        <v>0.80758697036497806</v>
      </c>
      <c r="Y109" s="96">
        <f t="shared" si="29"/>
        <v>1.202900092643393</v>
      </c>
      <c r="Z109" s="96">
        <f t="shared" si="33"/>
        <v>168.04903785402519</v>
      </c>
      <c r="AA109" s="97">
        <f t="shared" si="36"/>
        <v>238.51096214597493</v>
      </c>
      <c r="AB109" s="97">
        <f t="shared" si="37"/>
        <v>298.51096214597499</v>
      </c>
      <c r="AC109" s="97">
        <f t="shared" si="38"/>
        <v>1520.6930244019857</v>
      </c>
      <c r="AD109" s="96"/>
      <c r="AE109" s="105">
        <f t="shared" si="30"/>
        <v>18.049037854025187</v>
      </c>
    </row>
    <row r="110" spans="5:31" x14ac:dyDescent="0.35">
      <c r="E110" s="100">
        <f t="shared" si="21"/>
        <v>1.0750000000000117</v>
      </c>
      <c r="F110" s="5">
        <v>20</v>
      </c>
      <c r="G110" s="5">
        <f t="shared" si="34"/>
        <v>140</v>
      </c>
      <c r="H110" s="106">
        <f t="shared" si="34"/>
        <v>3.8194444444444443E-3</v>
      </c>
      <c r="I110" s="110">
        <f t="shared" si="31"/>
        <v>1.7687499999999998E-2</v>
      </c>
      <c r="J110" s="5">
        <v>1.05</v>
      </c>
      <c r="K110" s="5">
        <v>0</v>
      </c>
      <c r="L110" s="5">
        <v>0</v>
      </c>
      <c r="N110" s="5">
        <f t="shared" si="23"/>
        <v>140</v>
      </c>
      <c r="O110" s="97">
        <f t="shared" si="24"/>
        <v>181.81818181818184</v>
      </c>
      <c r="P110" s="5">
        <f t="shared" si="25"/>
        <v>1.0049999999999999</v>
      </c>
      <c r="R110" s="96">
        <f t="shared" si="26"/>
        <v>4.0725057646924085</v>
      </c>
      <c r="S110" s="95">
        <f t="shared" si="27"/>
        <v>0.98208219295149246</v>
      </c>
      <c r="T110" s="96">
        <f t="shared" si="28"/>
        <v>60.099071555555561</v>
      </c>
      <c r="U110" s="97"/>
      <c r="V110" s="97">
        <f t="shared" si="32"/>
        <v>51.831891550630665</v>
      </c>
      <c r="W110" s="96">
        <f t="shared" si="22"/>
        <v>59.022227987628668</v>
      </c>
      <c r="X110" s="96">
        <f t="shared" si="35"/>
        <v>0.80669935223286215</v>
      </c>
      <c r="Y110" s="96">
        <f t="shared" si="29"/>
        <v>1.1927336162159639</v>
      </c>
      <c r="Z110" s="96">
        <f t="shared" si="33"/>
        <v>169.24177147024116</v>
      </c>
      <c r="AA110" s="97">
        <f t="shared" si="36"/>
        <v>237.31822852975895</v>
      </c>
      <c r="AB110" s="97">
        <f t="shared" si="37"/>
        <v>297.31822852975904</v>
      </c>
      <c r="AC110" s="97">
        <f t="shared" si="38"/>
        <v>1534.7996754506541</v>
      </c>
      <c r="AD110" s="96"/>
      <c r="AE110" s="105">
        <f t="shared" si="30"/>
        <v>19.241771470241162</v>
      </c>
    </row>
    <row r="111" spans="5:31" x14ac:dyDescent="0.35">
      <c r="E111" s="100">
        <f t="shared" si="21"/>
        <v>1.0756944444444563</v>
      </c>
      <c r="F111" s="5">
        <v>20</v>
      </c>
      <c r="G111" s="5">
        <f t="shared" si="34"/>
        <v>140</v>
      </c>
      <c r="H111" s="106">
        <f t="shared" si="34"/>
        <v>3.8194444444444443E-3</v>
      </c>
      <c r="I111" s="110">
        <f t="shared" si="31"/>
        <v>1.7687499999999998E-2</v>
      </c>
      <c r="J111" s="5">
        <v>1.05</v>
      </c>
      <c r="K111" s="5">
        <v>0</v>
      </c>
      <c r="L111" s="5">
        <v>0</v>
      </c>
      <c r="N111" s="5">
        <f t="shared" si="23"/>
        <v>140</v>
      </c>
      <c r="O111" s="97">
        <f t="shared" si="24"/>
        <v>181.81818181818184</v>
      </c>
      <c r="P111" s="5">
        <f t="shared" si="25"/>
        <v>1.0049999999999999</v>
      </c>
      <c r="R111" s="96">
        <f t="shared" si="26"/>
        <v>4.0725057646924085</v>
      </c>
      <c r="S111" s="95">
        <f t="shared" si="27"/>
        <v>0.98188440154843992</v>
      </c>
      <c r="T111" s="96">
        <f t="shared" si="28"/>
        <v>60.099071555555561</v>
      </c>
      <c r="U111" s="97"/>
      <c r="V111" s="97">
        <f t="shared" si="32"/>
        <v>51.831891550630665</v>
      </c>
      <c r="W111" s="96">
        <f t="shared" si="22"/>
        <v>59.010340907943544</v>
      </c>
      <c r="X111" s="96">
        <f t="shared" si="35"/>
        <v>0.80581923592809834</v>
      </c>
      <c r="Y111" s="96">
        <f t="shared" si="29"/>
        <v>1.1826570429422716</v>
      </c>
      <c r="Z111" s="96">
        <f t="shared" si="33"/>
        <v>170.42442851318344</v>
      </c>
      <c r="AA111" s="97">
        <f t="shared" si="36"/>
        <v>236.13557148681667</v>
      </c>
      <c r="AB111" s="97">
        <f t="shared" si="37"/>
        <v>296.13557148681679</v>
      </c>
      <c r="AC111" s="97">
        <f t="shared" si="38"/>
        <v>1548.9034854190918</v>
      </c>
      <c r="AD111" s="96"/>
      <c r="AE111" s="105">
        <f t="shared" si="30"/>
        <v>20.424428513183443</v>
      </c>
    </row>
    <row r="112" spans="5:31" x14ac:dyDescent="0.35">
      <c r="E112" s="100">
        <f t="shared" si="21"/>
        <v>1.0763888888889008</v>
      </c>
      <c r="F112" s="5">
        <v>20</v>
      </c>
      <c r="G112" s="5">
        <f t="shared" si="34"/>
        <v>140</v>
      </c>
      <c r="H112" s="106">
        <f t="shared" si="34"/>
        <v>3.8194444444444443E-3</v>
      </c>
      <c r="I112" s="110">
        <f t="shared" si="31"/>
        <v>1.7687499999999998E-2</v>
      </c>
      <c r="J112" s="5">
        <v>1.05</v>
      </c>
      <c r="K112" s="5">
        <v>0</v>
      </c>
      <c r="L112" s="5">
        <v>0</v>
      </c>
      <c r="N112" s="5">
        <f t="shared" si="23"/>
        <v>140</v>
      </c>
      <c r="O112" s="97">
        <f t="shared" si="24"/>
        <v>181.81818181818184</v>
      </c>
      <c r="P112" s="5">
        <f t="shared" si="25"/>
        <v>1.0049999999999999</v>
      </c>
      <c r="R112" s="96">
        <f t="shared" si="26"/>
        <v>4.0725057646924085</v>
      </c>
      <c r="S112" s="95">
        <f t="shared" si="27"/>
        <v>0.98168828114680684</v>
      </c>
      <c r="T112" s="96">
        <f t="shared" si="28"/>
        <v>60.099071555555561</v>
      </c>
      <c r="U112" s="97"/>
      <c r="V112" s="97">
        <f t="shared" si="32"/>
        <v>51.831891550630665</v>
      </c>
      <c r="W112" s="96">
        <f t="shared" si="22"/>
        <v>58.998554253892287</v>
      </c>
      <c r="X112" s="96">
        <f t="shared" si="35"/>
        <v>0.80494655511128732</v>
      </c>
      <c r="Y112" s="96">
        <f t="shared" si="29"/>
        <v>1.1726695124038606</v>
      </c>
      <c r="Z112" s="96">
        <f t="shared" si="33"/>
        <v>171.59709802558731</v>
      </c>
      <c r="AA112" s="97">
        <f t="shared" si="36"/>
        <v>234.9629019744128</v>
      </c>
      <c r="AB112" s="97">
        <f t="shared" si="37"/>
        <v>294.96290197441294</v>
      </c>
      <c r="AC112" s="97">
        <f t="shared" si="38"/>
        <v>1563.0044783096014</v>
      </c>
      <c r="AD112" s="96"/>
      <c r="AE112" s="105">
        <f t="shared" si="30"/>
        <v>21.597098025587314</v>
      </c>
    </row>
    <row r="113" spans="5:31" x14ac:dyDescent="0.35">
      <c r="E113" s="100">
        <f t="shared" si="21"/>
        <v>1.0770833333333454</v>
      </c>
      <c r="F113" s="5">
        <v>20</v>
      </c>
      <c r="G113" s="5">
        <f t="shared" si="34"/>
        <v>140</v>
      </c>
      <c r="H113" s="106">
        <f t="shared" si="34"/>
        <v>3.8194444444444443E-3</v>
      </c>
      <c r="I113" s="110">
        <f t="shared" si="31"/>
        <v>1.7687499999999998E-2</v>
      </c>
      <c r="J113" s="5">
        <v>1.05</v>
      </c>
      <c r="K113" s="5">
        <v>0</v>
      </c>
      <c r="L113" s="5">
        <v>0</v>
      </c>
      <c r="N113" s="5">
        <f t="shared" si="23"/>
        <v>140</v>
      </c>
      <c r="O113" s="97">
        <f t="shared" si="24"/>
        <v>181.81818181818184</v>
      </c>
      <c r="P113" s="5">
        <f t="shared" si="25"/>
        <v>1.0049999999999999</v>
      </c>
      <c r="R113" s="96">
        <f t="shared" si="26"/>
        <v>4.0725057646924085</v>
      </c>
      <c r="S113" s="95">
        <f t="shared" si="27"/>
        <v>0.98149381698060756</v>
      </c>
      <c r="T113" s="96">
        <f t="shared" si="28"/>
        <v>60.099071555555561</v>
      </c>
      <c r="U113" s="97"/>
      <c r="V113" s="97">
        <f t="shared" si="32"/>
        <v>51.831891550630665</v>
      </c>
      <c r="W113" s="96">
        <f t="shared" si="22"/>
        <v>58.986867138052887</v>
      </c>
      <c r="X113" s="96">
        <f t="shared" si="35"/>
        <v>0.80408124407793147</v>
      </c>
      <c r="Y113" s="96">
        <f t="shared" si="29"/>
        <v>1.1627701734826137</v>
      </c>
      <c r="Z113" s="96">
        <f t="shared" si="33"/>
        <v>172.75986819906993</v>
      </c>
      <c r="AA113" s="97">
        <f t="shared" si="36"/>
        <v>233.80013180093019</v>
      </c>
      <c r="AB113" s="97">
        <f t="shared" si="37"/>
        <v>293.80013180093033</v>
      </c>
      <c r="AC113" s="97">
        <f t="shared" si="38"/>
        <v>1577.1026779123865</v>
      </c>
      <c r="AD113" s="96"/>
      <c r="AE113" s="105">
        <f t="shared" si="30"/>
        <v>22.759868199069928</v>
      </c>
    </row>
    <row r="114" spans="5:31" x14ac:dyDescent="0.35">
      <c r="E114" s="100">
        <f t="shared" si="21"/>
        <v>1.0777777777777899</v>
      </c>
      <c r="F114" s="5">
        <v>20</v>
      </c>
      <c r="G114" s="5">
        <f t="shared" si="34"/>
        <v>140</v>
      </c>
      <c r="H114" s="106">
        <f t="shared" si="34"/>
        <v>3.8194444444444443E-3</v>
      </c>
      <c r="I114" s="110">
        <f t="shared" si="31"/>
        <v>1.7687499999999998E-2</v>
      </c>
      <c r="J114" s="5">
        <v>1.05</v>
      </c>
      <c r="K114" s="5">
        <v>0</v>
      </c>
      <c r="L114" s="5">
        <v>0</v>
      </c>
      <c r="N114" s="5">
        <f t="shared" si="23"/>
        <v>140</v>
      </c>
      <c r="O114" s="97">
        <f t="shared" si="24"/>
        <v>181.81818181818184</v>
      </c>
      <c r="P114" s="5">
        <f t="shared" si="25"/>
        <v>1.0049999999999999</v>
      </c>
      <c r="R114" s="96">
        <f t="shared" si="26"/>
        <v>4.0725057646924085</v>
      </c>
      <c r="S114" s="95">
        <f t="shared" si="27"/>
        <v>0.98130099442499752</v>
      </c>
      <c r="T114" s="96">
        <f t="shared" si="28"/>
        <v>60.099071555555561</v>
      </c>
      <c r="U114" s="97"/>
      <c r="V114" s="97">
        <f t="shared" si="32"/>
        <v>51.831891550630665</v>
      </c>
      <c r="W114" s="96">
        <f t="shared" si="22"/>
        <v>58.975278681485754</v>
      </c>
      <c r="X114" s="96">
        <f t="shared" si="35"/>
        <v>0.80322323775157189</v>
      </c>
      <c r="Y114" s="96">
        <f t="shared" si="29"/>
        <v>1.1529581842432226</v>
      </c>
      <c r="Z114" s="96">
        <f t="shared" si="33"/>
        <v>173.91282638331316</v>
      </c>
      <c r="AA114" s="97">
        <f t="shared" si="36"/>
        <v>232.64717361668696</v>
      </c>
      <c r="AB114" s="97">
        <f t="shared" si="37"/>
        <v>292.6471736166871</v>
      </c>
      <c r="AC114" s="97">
        <f t="shared" si="38"/>
        <v>1591.1981078075792</v>
      </c>
      <c r="AD114" s="96"/>
      <c r="AE114" s="105">
        <f t="shared" si="30"/>
        <v>23.91282638331316</v>
      </c>
    </row>
    <row r="115" spans="5:31" x14ac:dyDescent="0.35">
      <c r="E115" s="100">
        <f t="shared" si="21"/>
        <v>1.0784722222222345</v>
      </c>
      <c r="F115" s="5">
        <v>20</v>
      </c>
      <c r="G115" s="5">
        <f t="shared" si="34"/>
        <v>140</v>
      </c>
      <c r="H115" s="106">
        <f t="shared" si="34"/>
        <v>3.8194444444444443E-3</v>
      </c>
      <c r="I115" s="110">
        <f t="shared" si="31"/>
        <v>1.7687499999999998E-2</v>
      </c>
      <c r="J115" s="5">
        <v>1.05</v>
      </c>
      <c r="K115" s="5">
        <v>0</v>
      </c>
      <c r="L115" s="5">
        <v>0</v>
      </c>
      <c r="N115" s="5">
        <f t="shared" si="23"/>
        <v>140</v>
      </c>
      <c r="O115" s="97">
        <f t="shared" si="24"/>
        <v>181.81818181818184</v>
      </c>
      <c r="P115" s="5">
        <f t="shared" si="25"/>
        <v>1.0049999999999999</v>
      </c>
      <c r="R115" s="96">
        <f t="shared" si="26"/>
        <v>4.0725057646924085</v>
      </c>
      <c r="S115" s="95">
        <f t="shared" si="27"/>
        <v>0.98110979899475059</v>
      </c>
      <c r="T115" s="96">
        <f t="shared" si="28"/>
        <v>60.099071555555561</v>
      </c>
      <c r="U115" s="97"/>
      <c r="V115" s="97">
        <f t="shared" si="32"/>
        <v>51.831891550630665</v>
      </c>
      <c r="W115" s="96">
        <f t="shared" si="22"/>
        <v>58.963788013642251</v>
      </c>
      <c r="X115" s="96">
        <f t="shared" si="35"/>
        <v>0.8023724716770122</v>
      </c>
      <c r="Y115" s="96">
        <f t="shared" si="29"/>
        <v>1.1432327118174139</v>
      </c>
      <c r="Z115" s="96">
        <f t="shared" si="33"/>
        <v>175.05605909513056</v>
      </c>
      <c r="AA115" s="97">
        <f t="shared" si="36"/>
        <v>231.50394090486955</v>
      </c>
      <c r="AB115" s="97">
        <f t="shared" si="37"/>
        <v>291.50394090486969</v>
      </c>
      <c r="AC115" s="97">
        <f t="shared" si="38"/>
        <v>1605.290791367245</v>
      </c>
      <c r="AD115" s="96"/>
      <c r="AE115" s="105">
        <f t="shared" si="30"/>
        <v>25.056059095130564</v>
      </c>
    </row>
    <row r="116" spans="5:31" x14ac:dyDescent="0.35">
      <c r="E116" s="100">
        <f t="shared" si="21"/>
        <v>1.079166666666679</v>
      </c>
      <c r="F116" s="5">
        <v>20</v>
      </c>
      <c r="G116" s="5">
        <f t="shared" si="34"/>
        <v>140</v>
      </c>
      <c r="H116" s="106">
        <f t="shared" si="34"/>
        <v>3.8194444444444443E-3</v>
      </c>
      <c r="I116" s="110">
        <f t="shared" si="31"/>
        <v>1.7687499999999998E-2</v>
      </c>
      <c r="J116" s="5">
        <v>1.05</v>
      </c>
      <c r="K116" s="5">
        <v>0</v>
      </c>
      <c r="L116" s="5">
        <v>0</v>
      </c>
      <c r="N116" s="5">
        <f t="shared" si="23"/>
        <v>140</v>
      </c>
      <c r="O116" s="97">
        <f t="shared" si="24"/>
        <v>181.81818181818184</v>
      </c>
      <c r="P116" s="5">
        <f t="shared" si="25"/>
        <v>1.0049999999999999</v>
      </c>
      <c r="R116" s="96">
        <f t="shared" si="26"/>
        <v>4.0725057646924085</v>
      </c>
      <c r="S116" s="95">
        <f t="shared" si="27"/>
        <v>0.9809202163427555</v>
      </c>
      <c r="T116" s="96">
        <f t="shared" si="28"/>
        <v>60.099071555555561</v>
      </c>
      <c r="U116" s="97"/>
      <c r="V116" s="97">
        <f t="shared" si="32"/>
        <v>51.831891550630665</v>
      </c>
      <c r="W116" s="96">
        <f t="shared" si="22"/>
        <v>58.952394272274304</v>
      </c>
      <c r="X116" s="96">
        <f t="shared" si="35"/>
        <v>0.8015288820136286</v>
      </c>
      <c r="Y116" s="96">
        <f t="shared" si="29"/>
        <v>1.1335929322898968</v>
      </c>
      <c r="Z116" s="96">
        <f t="shared" si="33"/>
        <v>176.18965202742046</v>
      </c>
      <c r="AA116" s="97">
        <f t="shared" si="36"/>
        <v>230.37034797257965</v>
      </c>
      <c r="AB116" s="97">
        <f t="shared" si="37"/>
        <v>290.37034797257979</v>
      </c>
      <c r="AC116" s="97">
        <f t="shared" si="38"/>
        <v>1619.380751757368</v>
      </c>
      <c r="AD116" s="96"/>
      <c r="AE116" s="105">
        <f t="shared" si="30"/>
        <v>26.189652027420465</v>
      </c>
    </row>
    <row r="117" spans="5:31" x14ac:dyDescent="0.35">
      <c r="E117" s="100">
        <f t="shared" si="21"/>
        <v>1.0798611111111236</v>
      </c>
      <c r="F117" s="5">
        <v>20</v>
      </c>
      <c r="G117" s="5">
        <f t="shared" si="34"/>
        <v>140</v>
      </c>
      <c r="H117" s="106">
        <f t="shared" si="34"/>
        <v>3.8194444444444443E-3</v>
      </c>
      <c r="I117" s="110">
        <f t="shared" si="31"/>
        <v>1.7687499999999998E-2</v>
      </c>
      <c r="J117" s="5">
        <v>1.05</v>
      </c>
      <c r="K117" s="5">
        <v>0</v>
      </c>
      <c r="L117" s="5">
        <v>0</v>
      </c>
      <c r="N117" s="5">
        <f t="shared" si="23"/>
        <v>140</v>
      </c>
      <c r="O117" s="97">
        <f t="shared" si="24"/>
        <v>181.81818181818184</v>
      </c>
      <c r="P117" s="5">
        <f t="shared" si="25"/>
        <v>1.0049999999999999</v>
      </c>
      <c r="R117" s="96">
        <f t="shared" si="26"/>
        <v>4.0725057646924085</v>
      </c>
      <c r="S117" s="95">
        <f t="shared" si="27"/>
        <v>0.98073223225853112</v>
      </c>
      <c r="T117" s="96">
        <f t="shared" si="28"/>
        <v>60.099071555555561</v>
      </c>
      <c r="U117" s="97"/>
      <c r="V117" s="97">
        <f t="shared" si="32"/>
        <v>51.831891550630665</v>
      </c>
      <c r="W117" s="96">
        <f t="shared" si="22"/>
        <v>58.941096603345201</v>
      </c>
      <c r="X117" s="96">
        <f t="shared" si="35"/>
        <v>0.80069240552876297</v>
      </c>
      <c r="Y117" s="96">
        <f t="shared" si="29"/>
        <v>1.1240380305859907</v>
      </c>
      <c r="Z117" s="96">
        <f t="shared" si="33"/>
        <v>177.31369005800644</v>
      </c>
      <c r="AA117" s="97">
        <f t="shared" si="36"/>
        <v>229.24630994199367</v>
      </c>
      <c r="AB117" s="97">
        <f t="shared" si="37"/>
        <v>289.24630994199379</v>
      </c>
      <c r="AC117" s="97">
        <f t="shared" si="38"/>
        <v>1633.468011939812</v>
      </c>
      <c r="AD117" s="96"/>
      <c r="AE117" s="105">
        <f t="shared" si="30"/>
        <v>27.313690058006443</v>
      </c>
    </row>
    <row r="118" spans="5:31" x14ac:dyDescent="0.35">
      <c r="E118" s="100">
        <f t="shared" si="21"/>
        <v>1.0805555555555681</v>
      </c>
      <c r="F118" s="5">
        <v>20</v>
      </c>
      <c r="G118" s="5">
        <f t="shared" si="34"/>
        <v>140</v>
      </c>
      <c r="H118" s="106">
        <f t="shared" si="34"/>
        <v>3.8194444444444443E-3</v>
      </c>
      <c r="I118" s="110">
        <f t="shared" si="31"/>
        <v>1.7687499999999998E-2</v>
      </c>
      <c r="J118" s="5">
        <v>1.05</v>
      </c>
      <c r="K118" s="5">
        <v>0</v>
      </c>
      <c r="L118" s="5">
        <v>0</v>
      </c>
      <c r="N118" s="5">
        <f t="shared" si="23"/>
        <v>140</v>
      </c>
      <c r="O118" s="97">
        <f t="shared" si="24"/>
        <v>181.81818181818184</v>
      </c>
      <c r="P118" s="5">
        <f t="shared" si="25"/>
        <v>1.0049999999999999</v>
      </c>
      <c r="R118" s="96">
        <f t="shared" si="26"/>
        <v>4.0725057646924085</v>
      </c>
      <c r="S118" s="95">
        <f t="shared" si="27"/>
        <v>0.9805458326667601</v>
      </c>
      <c r="T118" s="96">
        <f t="shared" si="28"/>
        <v>60.099071555555561</v>
      </c>
      <c r="U118" s="97"/>
      <c r="V118" s="97">
        <f t="shared" si="32"/>
        <v>51.831891550630665</v>
      </c>
      <c r="W118" s="96">
        <f t="shared" si="22"/>
        <v>58.929894160941423</v>
      </c>
      <c r="X118" s="96">
        <f t="shared" si="35"/>
        <v>0.79986297959119956</v>
      </c>
      <c r="Y118" s="96">
        <f t="shared" si="29"/>
        <v>1.1145672003609179</v>
      </c>
      <c r="Z118" s="96">
        <f t="shared" si="33"/>
        <v>178.42825725836735</v>
      </c>
      <c r="AA118" s="97">
        <f t="shared" si="36"/>
        <v>228.13174274163276</v>
      </c>
      <c r="AB118" s="97">
        <f t="shared" si="37"/>
        <v>288.13174274163288</v>
      </c>
      <c r="AC118" s="97">
        <f t="shared" si="38"/>
        <v>1647.5525946742625</v>
      </c>
      <c r="AD118" s="96"/>
      <c r="AE118" s="105">
        <f t="shared" si="30"/>
        <v>28.428257258367353</v>
      </c>
    </row>
    <row r="119" spans="5:31" x14ac:dyDescent="0.35">
      <c r="E119" s="100">
        <f t="shared" si="21"/>
        <v>1.0812500000000127</v>
      </c>
      <c r="F119" s="5">
        <v>20</v>
      </c>
      <c r="G119" s="5">
        <f t="shared" si="34"/>
        <v>140</v>
      </c>
      <c r="H119" s="106">
        <f t="shared" si="34"/>
        <v>3.8194444444444443E-3</v>
      </c>
      <c r="I119" s="110">
        <f t="shared" si="31"/>
        <v>1.7687499999999998E-2</v>
      </c>
      <c r="J119" s="5">
        <v>1.05</v>
      </c>
      <c r="K119" s="5">
        <v>0</v>
      </c>
      <c r="L119" s="5">
        <v>0</v>
      </c>
      <c r="N119" s="5">
        <f t="shared" si="23"/>
        <v>140</v>
      </c>
      <c r="O119" s="97">
        <f t="shared" si="24"/>
        <v>181.81818181818184</v>
      </c>
      <c r="P119" s="5">
        <f t="shared" si="25"/>
        <v>1.0049999999999999</v>
      </c>
      <c r="R119" s="96">
        <f t="shared" si="26"/>
        <v>4.0725057646924085</v>
      </c>
      <c r="S119" s="95">
        <f t="shared" si="27"/>
        <v>0.98036100362584222</v>
      </c>
      <c r="T119" s="96">
        <f t="shared" si="28"/>
        <v>60.099071555555561</v>
      </c>
      <c r="U119" s="97"/>
      <c r="V119" s="97">
        <f t="shared" si="32"/>
        <v>51.831891550630665</v>
      </c>
      <c r="W119" s="96">
        <f t="shared" si="22"/>
        <v>58.91878610718576</v>
      </c>
      <c r="X119" s="96">
        <f t="shared" si="35"/>
        <v>0.79904054216472309</v>
      </c>
      <c r="Y119" s="96">
        <f t="shared" si="29"/>
        <v>1.1051796438907262</v>
      </c>
      <c r="Z119" s="96">
        <f t="shared" si="33"/>
        <v>179.53343690225807</v>
      </c>
      <c r="AA119" s="97">
        <f t="shared" si="36"/>
        <v>227.02656309774204</v>
      </c>
      <c r="AB119" s="97">
        <f t="shared" si="37"/>
        <v>287.02656309774216</v>
      </c>
      <c r="AC119" s="97">
        <f t="shared" si="38"/>
        <v>1661.6345225201483</v>
      </c>
      <c r="AD119" s="96"/>
      <c r="AE119" s="105">
        <f t="shared" si="30"/>
        <v>29.533436902258074</v>
      </c>
    </row>
    <row r="120" spans="5:31" x14ac:dyDescent="0.35">
      <c r="E120" s="100">
        <f t="shared" si="21"/>
        <v>1.0819444444444573</v>
      </c>
      <c r="F120" s="5">
        <v>20</v>
      </c>
      <c r="G120" s="5">
        <f t="shared" si="34"/>
        <v>140</v>
      </c>
      <c r="H120" s="106">
        <f t="shared" si="34"/>
        <v>3.8194444444444443E-3</v>
      </c>
      <c r="I120" s="110">
        <f t="shared" si="31"/>
        <v>1.7687499999999998E-2</v>
      </c>
      <c r="J120" s="5">
        <v>1.05</v>
      </c>
      <c r="K120" s="5">
        <v>0</v>
      </c>
      <c r="L120" s="5">
        <v>0</v>
      </c>
      <c r="N120" s="5">
        <f t="shared" si="23"/>
        <v>140</v>
      </c>
      <c r="O120" s="97">
        <f t="shared" si="24"/>
        <v>181.81818181818184</v>
      </c>
      <c r="P120" s="5">
        <f t="shared" si="25"/>
        <v>1.0049999999999999</v>
      </c>
      <c r="R120" s="96">
        <f t="shared" si="26"/>
        <v>4.0725057646924085</v>
      </c>
      <c r="S120" s="95">
        <f t="shared" si="27"/>
        <v>0.98017773132646346</v>
      </c>
      <c r="T120" s="96">
        <f t="shared" si="28"/>
        <v>60.099071555555561</v>
      </c>
      <c r="U120" s="97"/>
      <c r="V120" s="97">
        <f t="shared" si="32"/>
        <v>51.831891550630665</v>
      </c>
      <c r="W120" s="96">
        <f t="shared" si="22"/>
        <v>58.907771612151244</v>
      </c>
      <c r="X120" s="96">
        <f t="shared" si="35"/>
        <v>0.79822503180175763</v>
      </c>
      <c r="Y120" s="96">
        <f t="shared" si="29"/>
        <v>1.0958745719648171</v>
      </c>
      <c r="Z120" s="96">
        <f t="shared" si="33"/>
        <v>180.6293114742229</v>
      </c>
      <c r="AA120" s="97">
        <f t="shared" si="36"/>
        <v>225.93068852577721</v>
      </c>
      <c r="AB120" s="97">
        <f t="shared" si="37"/>
        <v>285.93068852577733</v>
      </c>
      <c r="AC120" s="97">
        <f t="shared" si="38"/>
        <v>1675.7138178385401</v>
      </c>
      <c r="AD120" s="96"/>
      <c r="AE120" s="105">
        <f t="shared" si="30"/>
        <v>0.62931147422290223</v>
      </c>
    </row>
    <row r="121" spans="5:31" x14ac:dyDescent="0.35">
      <c r="E121" s="100">
        <f t="shared" si="21"/>
        <v>1.0826388888889018</v>
      </c>
      <c r="F121" s="5">
        <v>20</v>
      </c>
      <c r="G121" s="5">
        <f t="shared" si="34"/>
        <v>140</v>
      </c>
      <c r="H121" s="106">
        <f t="shared" si="34"/>
        <v>3.8194444444444443E-3</v>
      </c>
      <c r="I121" s="110">
        <f t="shared" si="31"/>
        <v>1.7687499999999998E-2</v>
      </c>
      <c r="J121" s="5">
        <v>1.05</v>
      </c>
      <c r="K121" s="5">
        <v>0</v>
      </c>
      <c r="L121" s="5">
        <v>0</v>
      </c>
      <c r="N121" s="5">
        <f t="shared" si="23"/>
        <v>140</v>
      </c>
      <c r="O121" s="97">
        <f t="shared" si="24"/>
        <v>181.81818181818184</v>
      </c>
      <c r="P121" s="5">
        <f t="shared" si="25"/>
        <v>1.0049999999999999</v>
      </c>
      <c r="R121" s="96">
        <f t="shared" si="26"/>
        <v>4.0725057646924085</v>
      </c>
      <c r="S121" s="95">
        <f t="shared" si="27"/>
        <v>0.979996002090185</v>
      </c>
      <c r="T121" s="96">
        <f t="shared" si="28"/>
        <v>60.099071555555561</v>
      </c>
      <c r="U121" s="97"/>
      <c r="V121" s="97">
        <f t="shared" si="32"/>
        <v>51.831891550630665</v>
      </c>
      <c r="W121" s="96">
        <f t="shared" si="22"/>
        <v>58.896849853776409</v>
      </c>
      <c r="X121" s="96">
        <f t="shared" si="35"/>
        <v>0.79741638763708467</v>
      </c>
      <c r="Y121" s="96">
        <f t="shared" si="29"/>
        <v>1.0866512037800491</v>
      </c>
      <c r="Z121" s="96">
        <f t="shared" si="33"/>
        <v>181.71596267800294</v>
      </c>
      <c r="AA121" s="97">
        <f t="shared" si="36"/>
        <v>224.84403732199718</v>
      </c>
      <c r="AB121" s="97">
        <f t="shared" si="37"/>
        <v>284.84403732199729</v>
      </c>
      <c r="AC121" s="97">
        <f t="shared" si="38"/>
        <v>1689.7905027940317</v>
      </c>
      <c r="AD121" s="96"/>
      <c r="AE121" s="105">
        <f t="shared" si="30"/>
        <v>1.7159626780029384</v>
      </c>
    </row>
    <row r="122" spans="5:31" x14ac:dyDescent="0.35">
      <c r="E122" s="100">
        <f t="shared" si="21"/>
        <v>1.0833333333333464</v>
      </c>
      <c r="F122" s="5">
        <v>20</v>
      </c>
      <c r="G122" s="5">
        <f t="shared" si="34"/>
        <v>140</v>
      </c>
      <c r="H122" s="106">
        <f t="shared" si="34"/>
        <v>3.8194444444444443E-3</v>
      </c>
      <c r="I122" s="110">
        <f t="shared" si="31"/>
        <v>1.7687499999999998E-2</v>
      </c>
      <c r="J122" s="5">
        <v>1.05</v>
      </c>
      <c r="K122" s="5">
        <v>0</v>
      </c>
      <c r="L122" s="5">
        <v>0</v>
      </c>
      <c r="N122" s="5">
        <f t="shared" si="23"/>
        <v>140</v>
      </c>
      <c r="O122" s="97">
        <f t="shared" si="24"/>
        <v>181.81818181818184</v>
      </c>
      <c r="P122" s="5">
        <f t="shared" si="25"/>
        <v>1.01</v>
      </c>
      <c r="R122" s="96">
        <f t="shared" si="26"/>
        <v>4.0927669874023209</v>
      </c>
      <c r="S122" s="95">
        <f t="shared" si="27"/>
        <v>0.9798158023680491</v>
      </c>
      <c r="T122" s="96">
        <f t="shared" si="28"/>
        <v>60.099071555555561</v>
      </c>
      <c r="U122" s="97"/>
      <c r="V122" s="97">
        <f t="shared" si="32"/>
        <v>52.089761657847724</v>
      </c>
      <c r="W122" s="96">
        <f t="shared" si="22"/>
        <v>58.886020017781469</v>
      </c>
      <c r="X122" s="96">
        <f t="shared" si="35"/>
        <v>0.796614549381639</v>
      </c>
      <c r="Y122" s="96">
        <f t="shared" si="29"/>
        <v>1.0775087668363887</v>
      </c>
      <c r="Z122" s="96">
        <f t="shared" si="33"/>
        <v>182.79347144483933</v>
      </c>
      <c r="AA122" s="97">
        <f t="shared" si="36"/>
        <v>223.76652855516079</v>
      </c>
      <c r="AB122" s="97">
        <f t="shared" si="37"/>
        <v>313.7665285551609</v>
      </c>
      <c r="AC122" s="97">
        <f t="shared" si="38"/>
        <v>1703.864599356599</v>
      </c>
      <c r="AD122" s="96"/>
      <c r="AE122" s="105">
        <f t="shared" si="30"/>
        <v>2.7934714448393265</v>
      </c>
    </row>
    <row r="123" spans="5:31" x14ac:dyDescent="0.35">
      <c r="E123" s="100">
        <f t="shared" si="21"/>
        <v>1.0840277777777909</v>
      </c>
      <c r="F123" s="5">
        <v>20</v>
      </c>
      <c r="G123" s="5">
        <f t="shared" si="34"/>
        <v>140</v>
      </c>
      <c r="H123" s="106">
        <f t="shared" si="34"/>
        <v>3.8194444444444443E-3</v>
      </c>
      <c r="I123" s="110">
        <f t="shared" si="31"/>
        <v>1.7687499999999998E-2</v>
      </c>
      <c r="J123" s="5">
        <v>1.05</v>
      </c>
      <c r="K123" s="5">
        <v>0</v>
      </c>
      <c r="L123" s="5">
        <v>0</v>
      </c>
      <c r="N123" s="5">
        <f t="shared" si="23"/>
        <v>140</v>
      </c>
      <c r="O123" s="97">
        <f t="shared" si="24"/>
        <v>181.81818181818184</v>
      </c>
      <c r="P123" s="5">
        <f t="shared" si="25"/>
        <v>1.01</v>
      </c>
      <c r="R123" s="96">
        <f t="shared" si="26"/>
        <v>4.0927669874023209</v>
      </c>
      <c r="S123" s="95">
        <f t="shared" si="27"/>
        <v>0.98461202848510243</v>
      </c>
      <c r="T123" s="96">
        <f t="shared" si="28"/>
        <v>60.099071555555561</v>
      </c>
      <c r="U123" s="97"/>
      <c r="V123" s="97">
        <f t="shared" si="32"/>
        <v>52.089761657847724</v>
      </c>
      <c r="W123" s="96">
        <f t="shared" si="22"/>
        <v>59.17426875438688</v>
      </c>
      <c r="X123" s="96">
        <f t="shared" si="35"/>
        <v>0.81795641127151764</v>
      </c>
      <c r="Y123" s="96">
        <f t="shared" si="29"/>
        <v>1.3219667389931395</v>
      </c>
      <c r="Z123" s="96">
        <f t="shared" si="33"/>
        <v>184.11543818383245</v>
      </c>
      <c r="AA123" s="97">
        <f t="shared" si="36"/>
        <v>222.44456181616766</v>
      </c>
      <c r="AB123" s="97">
        <f t="shared" si="37"/>
        <v>312.44456181616778</v>
      </c>
      <c r="AC123" s="97">
        <f t="shared" si="38"/>
        <v>1718.0075890206494</v>
      </c>
      <c r="AD123" s="96"/>
      <c r="AE123" s="105">
        <f t="shared" si="30"/>
        <v>4.1154381838324525</v>
      </c>
    </row>
    <row r="124" spans="5:31" x14ac:dyDescent="0.35">
      <c r="E124" s="100">
        <f t="shared" si="21"/>
        <v>1.0847222222222355</v>
      </c>
      <c r="F124" s="5">
        <v>20</v>
      </c>
      <c r="G124" s="5">
        <f t="shared" si="34"/>
        <v>140</v>
      </c>
      <c r="H124" s="106">
        <f t="shared" si="34"/>
        <v>3.8194444444444443E-3</v>
      </c>
      <c r="I124" s="110">
        <f t="shared" si="31"/>
        <v>1.7687499999999998E-2</v>
      </c>
      <c r="J124" s="5">
        <v>1.05</v>
      </c>
      <c r="K124" s="5">
        <v>0</v>
      </c>
      <c r="L124" s="5">
        <v>0</v>
      </c>
      <c r="N124" s="5">
        <f t="shared" si="23"/>
        <v>140</v>
      </c>
      <c r="O124" s="97">
        <f t="shared" si="24"/>
        <v>181.81818181818184</v>
      </c>
      <c r="P124" s="5">
        <f t="shared" si="25"/>
        <v>1.01</v>
      </c>
      <c r="R124" s="96">
        <f t="shared" si="26"/>
        <v>4.0927669874023209</v>
      </c>
      <c r="S124" s="95">
        <f t="shared" si="27"/>
        <v>0.98439280631131676</v>
      </c>
      <c r="T124" s="96">
        <f t="shared" si="28"/>
        <v>60.099071555555561</v>
      </c>
      <c r="U124" s="97"/>
      <c r="V124" s="97">
        <f t="shared" si="32"/>
        <v>52.089761657847724</v>
      </c>
      <c r="W124" s="96">
        <f t="shared" si="22"/>
        <v>59.16109370527797</v>
      </c>
      <c r="X124" s="96">
        <f t="shared" si="35"/>
        <v>0.81698093404380723</v>
      </c>
      <c r="Y124" s="96">
        <f t="shared" si="29"/>
        <v>1.3107424243743604</v>
      </c>
      <c r="Z124" s="96">
        <f t="shared" si="33"/>
        <v>185.42618060820681</v>
      </c>
      <c r="AA124" s="97">
        <f t="shared" si="36"/>
        <v>221.13381939179331</v>
      </c>
      <c r="AB124" s="97">
        <f t="shared" si="37"/>
        <v>311.13381939179339</v>
      </c>
      <c r="AC124" s="97">
        <f t="shared" si="38"/>
        <v>1732.1474297723889</v>
      </c>
      <c r="AD124" s="96"/>
      <c r="AE124" s="105">
        <f t="shared" si="30"/>
        <v>5.4261806082068063</v>
      </c>
    </row>
    <row r="125" spans="5:31" x14ac:dyDescent="0.35">
      <c r="E125" s="100">
        <f t="shared" si="21"/>
        <v>1.08541666666668</v>
      </c>
      <c r="F125" s="5">
        <v>20</v>
      </c>
      <c r="G125" s="5">
        <f t="shared" si="34"/>
        <v>140</v>
      </c>
      <c r="H125" s="106">
        <f t="shared" si="34"/>
        <v>3.8194444444444443E-3</v>
      </c>
      <c r="I125" s="110">
        <f t="shared" si="31"/>
        <v>1.7687499999999998E-2</v>
      </c>
      <c r="J125" s="5">
        <v>1.05</v>
      </c>
      <c r="K125" s="5">
        <v>0</v>
      </c>
      <c r="L125" s="5">
        <v>0</v>
      </c>
      <c r="N125" s="5">
        <f t="shared" si="23"/>
        <v>140</v>
      </c>
      <c r="O125" s="97">
        <f t="shared" si="24"/>
        <v>181.81818181818184</v>
      </c>
      <c r="P125" s="5">
        <f t="shared" si="25"/>
        <v>1.01</v>
      </c>
      <c r="R125" s="96">
        <f t="shared" si="26"/>
        <v>4.0927669874023209</v>
      </c>
      <c r="S125" s="95">
        <f t="shared" si="27"/>
        <v>0.98417544546927049</v>
      </c>
      <c r="T125" s="96">
        <f t="shared" si="28"/>
        <v>60.099071555555561</v>
      </c>
      <c r="U125" s="97"/>
      <c r="V125" s="97">
        <f t="shared" si="32"/>
        <v>52.089761657847724</v>
      </c>
      <c r="W125" s="96">
        <f t="shared" si="22"/>
        <v>59.148030520478457</v>
      </c>
      <c r="X125" s="96">
        <f t="shared" si="35"/>
        <v>0.81601373922062659</v>
      </c>
      <c r="Y125" s="96">
        <f t="shared" si="29"/>
        <v>1.2996182174652371</v>
      </c>
      <c r="Z125" s="96">
        <f t="shared" si="33"/>
        <v>186.72579882567203</v>
      </c>
      <c r="AA125" s="97">
        <f t="shared" si="36"/>
        <v>219.83420117432809</v>
      </c>
      <c r="AB125" s="97">
        <f t="shared" si="37"/>
        <v>309.83420117432814</v>
      </c>
      <c r="AC125" s="97">
        <f t="shared" si="38"/>
        <v>1746.284148348029</v>
      </c>
      <c r="AD125" s="96"/>
      <c r="AE125" s="105">
        <f t="shared" si="30"/>
        <v>6.7257988256720296</v>
      </c>
    </row>
    <row r="126" spans="5:31" x14ac:dyDescent="0.35">
      <c r="E126" s="100">
        <f t="shared" si="21"/>
        <v>1.0861111111111246</v>
      </c>
      <c r="F126" s="5">
        <v>20</v>
      </c>
      <c r="G126" s="5">
        <f t="shared" si="34"/>
        <v>140</v>
      </c>
      <c r="H126" s="106">
        <f t="shared" si="34"/>
        <v>3.8194444444444443E-3</v>
      </c>
      <c r="I126" s="110">
        <f t="shared" si="31"/>
        <v>1.7687499999999998E-2</v>
      </c>
      <c r="J126" s="5">
        <v>1.05</v>
      </c>
      <c r="K126" s="5">
        <v>0</v>
      </c>
      <c r="L126" s="5">
        <v>0</v>
      </c>
      <c r="N126" s="5">
        <f t="shared" si="23"/>
        <v>140</v>
      </c>
      <c r="O126" s="97">
        <f t="shared" si="24"/>
        <v>181.81818181818184</v>
      </c>
      <c r="P126" s="5">
        <f t="shared" si="25"/>
        <v>1.01</v>
      </c>
      <c r="R126" s="96">
        <f t="shared" si="26"/>
        <v>4.0927669874023209</v>
      </c>
      <c r="S126" s="95">
        <f t="shared" si="27"/>
        <v>0.98395992935806986</v>
      </c>
      <c r="T126" s="96">
        <f t="shared" si="28"/>
        <v>60.099071555555561</v>
      </c>
      <c r="U126" s="97"/>
      <c r="V126" s="97">
        <f t="shared" si="32"/>
        <v>52.089761657847724</v>
      </c>
      <c r="W126" s="96">
        <f t="shared" si="22"/>
        <v>59.135078202290039</v>
      </c>
      <c r="X126" s="96">
        <f t="shared" si="35"/>
        <v>0.81505475293265051</v>
      </c>
      <c r="Y126" s="96">
        <f t="shared" si="29"/>
        <v>1.2885931462533047</v>
      </c>
      <c r="Z126" s="96">
        <f t="shared" si="33"/>
        <v>188.01439197192533</v>
      </c>
      <c r="AA126" s="97">
        <f t="shared" si="36"/>
        <v>218.54560802807478</v>
      </c>
      <c r="AB126" s="97">
        <f t="shared" si="37"/>
        <v>308.54560802807487</v>
      </c>
      <c r="AC126" s="97">
        <f t="shared" si="38"/>
        <v>1760.4177712453259</v>
      </c>
      <c r="AD126" s="96"/>
      <c r="AE126" s="105">
        <f t="shared" si="30"/>
        <v>8.0143919719253347</v>
      </c>
    </row>
    <row r="127" spans="5:31" x14ac:dyDescent="0.35">
      <c r="E127" s="100">
        <f t="shared" ref="E127:E182" si="39">E126+TIME(0,1,0)</f>
        <v>1.0868055555555691</v>
      </c>
      <c r="F127" s="5">
        <v>20</v>
      </c>
      <c r="G127" s="5">
        <f t="shared" si="34"/>
        <v>140</v>
      </c>
      <c r="H127" s="106">
        <f t="shared" si="34"/>
        <v>3.8194444444444443E-3</v>
      </c>
      <c r="I127" s="110">
        <f t="shared" si="31"/>
        <v>1.7687499999999998E-2</v>
      </c>
      <c r="J127" s="5">
        <v>1.05</v>
      </c>
      <c r="K127" s="5">
        <v>0</v>
      </c>
      <c r="L127" s="5">
        <v>0</v>
      </c>
      <c r="N127" s="5">
        <f t="shared" si="23"/>
        <v>140</v>
      </c>
      <c r="O127" s="97">
        <f t="shared" si="24"/>
        <v>181.81818181818184</v>
      </c>
      <c r="P127" s="5">
        <f t="shared" si="25"/>
        <v>1.01</v>
      </c>
      <c r="R127" s="96">
        <f t="shared" si="26"/>
        <v>4.0927669874023209</v>
      </c>
      <c r="S127" s="95">
        <f t="shared" si="27"/>
        <v>0.98374624153801016</v>
      </c>
      <c r="T127" s="96">
        <f t="shared" si="28"/>
        <v>60.099071555555561</v>
      </c>
      <c r="U127" s="97"/>
      <c r="V127" s="97">
        <f t="shared" si="32"/>
        <v>52.089761657847724</v>
      </c>
      <c r="W127" s="96">
        <f t="shared" ref="W127:W182" si="40">S127*T127</f>
        <v>59.12223576270172</v>
      </c>
      <c r="X127" s="96">
        <f t="shared" si="35"/>
        <v>0.81410390202780014</v>
      </c>
      <c r="Y127" s="96">
        <f t="shared" si="29"/>
        <v>1.2776662494567843</v>
      </c>
      <c r="Z127" s="96">
        <f t="shared" si="33"/>
        <v>189.29205822138212</v>
      </c>
      <c r="AA127" s="97">
        <f t="shared" si="36"/>
        <v>217.267941778618</v>
      </c>
      <c r="AB127" s="97">
        <f t="shared" si="37"/>
        <v>307.26794177861808</v>
      </c>
      <c r="AC127" s="97">
        <f t="shared" si="38"/>
        <v>1774.5483247258951</v>
      </c>
      <c r="AD127" s="96"/>
      <c r="AE127" s="105">
        <f t="shared" si="30"/>
        <v>9.2920582213821206</v>
      </c>
    </row>
    <row r="128" spans="5:31" x14ac:dyDescent="0.35">
      <c r="E128" s="100">
        <f t="shared" si="39"/>
        <v>1.0875000000000137</v>
      </c>
      <c r="F128" s="5">
        <v>20</v>
      </c>
      <c r="G128" s="5">
        <f t="shared" si="34"/>
        <v>140</v>
      </c>
      <c r="H128" s="106">
        <f t="shared" si="34"/>
        <v>3.8194444444444443E-3</v>
      </c>
      <c r="I128" s="110">
        <f t="shared" si="31"/>
        <v>1.7687499999999998E-2</v>
      </c>
      <c r="J128" s="5">
        <v>1.05</v>
      </c>
      <c r="K128" s="5">
        <v>0</v>
      </c>
      <c r="L128" s="5">
        <v>0</v>
      </c>
      <c r="N128" s="5">
        <f t="shared" si="23"/>
        <v>140</v>
      </c>
      <c r="O128" s="97">
        <f t="shared" si="24"/>
        <v>181.81818181818184</v>
      </c>
      <c r="P128" s="5">
        <f t="shared" si="25"/>
        <v>1.01</v>
      </c>
      <c r="R128" s="96">
        <f t="shared" si="26"/>
        <v>4.0927669874023209</v>
      </c>
      <c r="S128" s="95">
        <f t="shared" si="27"/>
        <v>0.98353436572879571</v>
      </c>
      <c r="T128" s="96">
        <f t="shared" si="28"/>
        <v>60.099071555555561</v>
      </c>
      <c r="U128" s="97"/>
      <c r="V128" s="97">
        <f t="shared" si="32"/>
        <v>52.089761657847724</v>
      </c>
      <c r="W128" s="96">
        <f t="shared" si="40"/>
        <v>59.109502223282846</v>
      </c>
      <c r="X128" s="96">
        <f t="shared" si="35"/>
        <v>0.81316111406332492</v>
      </c>
      <c r="Y128" s="96">
        <f t="shared" si="29"/>
        <v>1.2668365763854679</v>
      </c>
      <c r="Z128" s="96">
        <f t="shared" si="33"/>
        <v>190.55889479776758</v>
      </c>
      <c r="AA128" s="97">
        <f t="shared" si="36"/>
        <v>216.00110520223254</v>
      </c>
      <c r="AB128" s="97">
        <f t="shared" si="37"/>
        <v>306.00110520223262</v>
      </c>
      <c r="AC128" s="97">
        <f t="shared" si="38"/>
        <v>1788.6758348175019</v>
      </c>
      <c r="AD128" s="96"/>
      <c r="AE128" s="105">
        <f t="shared" si="30"/>
        <v>10.558894797767579</v>
      </c>
    </row>
    <row r="129" spans="5:31" x14ac:dyDescent="0.35">
      <c r="E129" s="100">
        <f t="shared" si="39"/>
        <v>1.0881944444444582</v>
      </c>
      <c r="F129" s="5">
        <v>20</v>
      </c>
      <c r="G129" s="5">
        <f t="shared" si="34"/>
        <v>140</v>
      </c>
      <c r="H129" s="106">
        <f t="shared" si="34"/>
        <v>3.8194444444444443E-3</v>
      </c>
      <c r="I129" s="110">
        <f t="shared" si="31"/>
        <v>1.7687499999999998E-2</v>
      </c>
      <c r="J129" s="5">
        <v>1.05</v>
      </c>
      <c r="K129" s="5">
        <v>0</v>
      </c>
      <c r="L129" s="5">
        <v>0</v>
      </c>
      <c r="N129" s="5">
        <f t="shared" si="23"/>
        <v>140</v>
      </c>
      <c r="O129" s="97">
        <f t="shared" si="24"/>
        <v>181.81818181818184</v>
      </c>
      <c r="P129" s="5">
        <f t="shared" si="25"/>
        <v>1.01</v>
      </c>
      <c r="R129" s="96">
        <f t="shared" si="26"/>
        <v>4.0927669874023209</v>
      </c>
      <c r="S129" s="95">
        <f t="shared" si="27"/>
        <v>0.98332428580778475</v>
      </c>
      <c r="T129" s="96">
        <f t="shared" si="28"/>
        <v>60.099071555555561</v>
      </c>
      <c r="U129" s="97"/>
      <c r="V129" s="97">
        <f t="shared" si="32"/>
        <v>52.089761657847724</v>
      </c>
      <c r="W129" s="96">
        <f t="shared" si="40"/>
        <v>59.096876615077626</v>
      </c>
      <c r="X129" s="96">
        <f t="shared" si="35"/>
        <v>0.81222631729798733</v>
      </c>
      <c r="Y129" s="96">
        <f t="shared" si="29"/>
        <v>1.2561031868037331</v>
      </c>
      <c r="Z129" s="96">
        <f t="shared" si="33"/>
        <v>191.81499798457131</v>
      </c>
      <c r="AA129" s="97">
        <f t="shared" si="36"/>
        <v>214.74500201542881</v>
      </c>
      <c r="AB129" s="97">
        <f t="shared" si="37"/>
        <v>304.74500201542889</v>
      </c>
      <c r="AC129" s="97">
        <f t="shared" si="38"/>
        <v>1802.8003273163254</v>
      </c>
      <c r="AD129" s="96"/>
      <c r="AE129" s="105">
        <f t="shared" si="30"/>
        <v>11.814997984571306</v>
      </c>
    </row>
    <row r="130" spans="5:31" x14ac:dyDescent="0.35">
      <c r="E130" s="100">
        <f t="shared" si="39"/>
        <v>1.0888888888889028</v>
      </c>
      <c r="F130" s="5">
        <v>20</v>
      </c>
      <c r="G130" s="5">
        <f t="shared" si="34"/>
        <v>140</v>
      </c>
      <c r="H130" s="106">
        <f t="shared" si="34"/>
        <v>3.8194444444444443E-3</v>
      </c>
      <c r="I130" s="110">
        <f t="shared" si="31"/>
        <v>1.7687499999999998E-2</v>
      </c>
      <c r="J130" s="5">
        <v>1.05</v>
      </c>
      <c r="K130" s="5">
        <v>0</v>
      </c>
      <c r="L130" s="5">
        <v>0</v>
      </c>
      <c r="N130" s="5">
        <f t="shared" si="23"/>
        <v>140</v>
      </c>
      <c r="O130" s="97">
        <f t="shared" si="24"/>
        <v>181.81818181818184</v>
      </c>
      <c r="P130" s="5">
        <f t="shared" si="25"/>
        <v>1.01</v>
      </c>
      <c r="R130" s="96">
        <f t="shared" si="26"/>
        <v>4.0927669874023209</v>
      </c>
      <c r="S130" s="95">
        <f t="shared" si="27"/>
        <v>0.98311598580825532</v>
      </c>
      <c r="T130" s="96">
        <f t="shared" si="28"/>
        <v>60.099071555555561</v>
      </c>
      <c r="U130" s="97"/>
      <c r="V130" s="97">
        <f t="shared" si="32"/>
        <v>52.089761657847724</v>
      </c>
      <c r="W130" s="96">
        <f t="shared" si="40"/>
        <v>59.084357978500883</v>
      </c>
      <c r="X130" s="96">
        <f t="shared" si="35"/>
        <v>0.81129944068434823</v>
      </c>
      <c r="Y130" s="96">
        <f t="shared" si="29"/>
        <v>1.245465150795636</v>
      </c>
      <c r="Z130" s="96">
        <f t="shared" si="33"/>
        <v>193.06046313536694</v>
      </c>
      <c r="AA130" s="97">
        <f t="shared" si="36"/>
        <v>213.49953686463317</v>
      </c>
      <c r="AB130" s="97">
        <f t="shared" si="37"/>
        <v>303.49953686463328</v>
      </c>
      <c r="AC130" s="97">
        <f t="shared" si="38"/>
        <v>1816.9218277891985</v>
      </c>
      <c r="AD130" s="96"/>
      <c r="AE130" s="105">
        <f t="shared" si="30"/>
        <v>13.060463135366945</v>
      </c>
    </row>
    <row r="131" spans="5:31" x14ac:dyDescent="0.35">
      <c r="E131" s="100">
        <f t="shared" si="39"/>
        <v>1.0895833333333473</v>
      </c>
      <c r="F131" s="5">
        <v>20</v>
      </c>
      <c r="G131" s="5">
        <f t="shared" si="34"/>
        <v>140</v>
      </c>
      <c r="H131" s="106">
        <f t="shared" si="34"/>
        <v>3.8194444444444443E-3</v>
      </c>
      <c r="I131" s="110">
        <f t="shared" si="31"/>
        <v>1.7687499999999998E-2</v>
      </c>
      <c r="J131" s="5">
        <v>1.05</v>
      </c>
      <c r="K131" s="5">
        <v>0</v>
      </c>
      <c r="L131" s="5">
        <v>0</v>
      </c>
      <c r="N131" s="5">
        <f t="shared" ref="N131:N194" si="41">G131*(1-0.0015*MAX(0,F131-24))*1</f>
        <v>140</v>
      </c>
      <c r="O131" s="97">
        <f t="shared" ref="O131:O194" si="42">1/((MINUTE(H131)*60+SECOND(H131))/60/1000)</f>
        <v>181.81818181818184</v>
      </c>
      <c r="P131" s="5">
        <f t="shared" ref="P131:P194" si="43">1+MIN(0.25, IF(HOUR(E131)&lt;12,0.005*HOUR(E131), IF(HOUR(E131)&lt;24,MIN(0.1,0.005*HOUR(E131)+0.0025*HOUR(E131)),0.1))  +  (K131/300)*0.01  +  (L131/300)*0.02)</f>
        <v>1.01</v>
      </c>
      <c r="R131" s="96">
        <f t="shared" ref="R131:R194" si="44">(155.4*POWER(I131,5) - 30.4*POWER(I131,4) - 43.3*POWER(I131,3) + 46.3*POWER(I131,2) + 19.5*I131 + $C$31)*J131*P131</f>
        <v>4.0927669874023209</v>
      </c>
      <c r="S131" s="95">
        <f t="shared" ref="S131:S194" si="45">(1.106*X131+3.941)/(1.106*MAX(0.7,(0.7+0.3*(G131-$C$16)/($C$17-$C$16)))+3.941)</f>
        <v>0.9829094499176928</v>
      </c>
      <c r="T131" s="96">
        <f t="shared" ref="T131:T194" si="46">IF($C$12=1, -95.7735+(0.634*N131)+(0.404*$C$19)+(0.394*$C$14)+(0.271*$C$13), -59.3954+(0.45*N131)+(0.38*$C$19)+(0.103*$C$14)+(0.274*$C$13))+$C$30</f>
        <v>60.099071555555561</v>
      </c>
      <c r="U131" s="97"/>
      <c r="V131" s="97">
        <f t="shared" si="32"/>
        <v>52.089761657847724</v>
      </c>
      <c r="W131" s="96">
        <f t="shared" si="40"/>
        <v>59.071945363235173</v>
      </c>
      <c r="X131" s="96">
        <f t="shared" si="35"/>
        <v>0.81038041386115189</v>
      </c>
      <c r="Y131" s="96">
        <f t="shared" ref="Y131:Y194" si="47">(MAX(V131,W131) * (X131-0.7)/0.3)/17.6</f>
        <v>1.2349215486320555</v>
      </c>
      <c r="Z131" s="96">
        <f t="shared" si="33"/>
        <v>194.295384683999</v>
      </c>
      <c r="AA131" s="97">
        <f t="shared" si="36"/>
        <v>212.26461531600111</v>
      </c>
      <c r="AB131" s="97">
        <f t="shared" si="37"/>
        <v>302.26461531600125</v>
      </c>
      <c r="AC131" s="97">
        <f t="shared" si="38"/>
        <v>1831.0403615758225</v>
      </c>
      <c r="AD131" s="96"/>
      <c r="AE131" s="105">
        <f t="shared" ref="AE131:AE194" si="48">MOD(Z131,30)</f>
        <v>14.295384683999004</v>
      </c>
    </row>
    <row r="132" spans="5:31" x14ac:dyDescent="0.35">
      <c r="E132" s="100">
        <f t="shared" si="39"/>
        <v>1.0902777777777919</v>
      </c>
      <c r="F132" s="5">
        <v>20</v>
      </c>
      <c r="G132" s="5">
        <f t="shared" si="34"/>
        <v>140</v>
      </c>
      <c r="H132" s="106">
        <f t="shared" si="34"/>
        <v>3.8194444444444443E-3</v>
      </c>
      <c r="I132" s="110">
        <f t="shared" ref="I132:I195" si="49">(140+143)/16000</f>
        <v>1.7687499999999998E-2</v>
      </c>
      <c r="J132" s="5">
        <v>1.05</v>
      </c>
      <c r="K132" s="5">
        <v>0</v>
      </c>
      <c r="L132" s="5">
        <v>0</v>
      </c>
      <c r="N132" s="5">
        <f t="shared" si="41"/>
        <v>140</v>
      </c>
      <c r="O132" s="97">
        <f t="shared" si="42"/>
        <v>181.81818181818184</v>
      </c>
      <c r="P132" s="5">
        <f t="shared" si="43"/>
        <v>1.01</v>
      </c>
      <c r="R132" s="96">
        <f t="shared" si="44"/>
        <v>4.0927669874023209</v>
      </c>
      <c r="S132" s="95">
        <f t="shared" si="45"/>
        <v>0.98270466247610244</v>
      </c>
      <c r="T132" s="96">
        <f t="shared" si="46"/>
        <v>60.099071555555561</v>
      </c>
      <c r="U132" s="97"/>
      <c r="V132" s="97">
        <f t="shared" ref="V132:V195" si="50">O132*R132*$C$14/1000</f>
        <v>52.089761657847724</v>
      </c>
      <c r="W132" s="96">
        <f t="shared" si="40"/>
        <v>59.059637828129354</v>
      </c>
      <c r="X132" s="96">
        <f t="shared" si="35"/>
        <v>0.80946916714580952</v>
      </c>
      <c r="Y132" s="96">
        <f t="shared" si="47"/>
        <v>1.2244714706398616</v>
      </c>
      <c r="Z132" s="96">
        <f t="shared" ref="Z132:Z195" si="51">Z131+Y132</f>
        <v>195.51985615463886</v>
      </c>
      <c r="AA132" s="97">
        <f t="shared" si="36"/>
        <v>211.04014384536126</v>
      </c>
      <c r="AB132" s="97">
        <f t="shared" si="37"/>
        <v>301.0401438453614</v>
      </c>
      <c r="AC132" s="97">
        <f t="shared" si="38"/>
        <v>1845.1559537909586</v>
      </c>
      <c r="AD132" s="96"/>
      <c r="AE132" s="105">
        <f t="shared" si="48"/>
        <v>15.519856154638859</v>
      </c>
    </row>
    <row r="133" spans="5:31" x14ac:dyDescent="0.35">
      <c r="E133" s="100">
        <f t="shared" si="39"/>
        <v>1.0909722222222364</v>
      </c>
      <c r="F133" s="5">
        <v>20</v>
      </c>
      <c r="G133" s="5">
        <f t="shared" ref="G133:H196" si="52">G132</f>
        <v>140</v>
      </c>
      <c r="H133" s="106">
        <f t="shared" si="52"/>
        <v>3.8194444444444443E-3</v>
      </c>
      <c r="I133" s="110">
        <f t="shared" si="49"/>
        <v>1.7687499999999998E-2</v>
      </c>
      <c r="J133" s="5">
        <v>1.05</v>
      </c>
      <c r="K133" s="5">
        <v>0</v>
      </c>
      <c r="L133" s="5">
        <v>0</v>
      </c>
      <c r="N133" s="5">
        <f t="shared" si="41"/>
        <v>140</v>
      </c>
      <c r="O133" s="97">
        <f t="shared" si="42"/>
        <v>181.81818181818184</v>
      </c>
      <c r="P133" s="5">
        <f t="shared" si="43"/>
        <v>1.01</v>
      </c>
      <c r="R133" s="96">
        <f t="shared" si="44"/>
        <v>4.0927669874023209</v>
      </c>
      <c r="S133" s="95">
        <f t="shared" si="45"/>
        <v>0.98250160797434027</v>
      </c>
      <c r="T133" s="96">
        <f t="shared" si="46"/>
        <v>60.099071555555561</v>
      </c>
      <c r="U133" s="97"/>
      <c r="V133" s="97">
        <f t="shared" si="50"/>
        <v>52.089761657847724</v>
      </c>
      <c r="W133" s="96">
        <f t="shared" si="40"/>
        <v>59.047434441098275</v>
      </c>
      <c r="X133" s="96">
        <f t="shared" ref="X133:X196" si="53">MAX(0.7, (0.7+0.3*(G133-$C$16)/($C$17-$C$16)) - 0.3*($C$29-AB132)/$C$29)</f>
        <v>0.80856563152697847</v>
      </c>
      <c r="Y133" s="96">
        <f t="shared" si="47"/>
        <v>1.2141140170730484</v>
      </c>
      <c r="Z133" s="96">
        <f t="shared" si="51"/>
        <v>196.73397017171192</v>
      </c>
      <c r="AA133" s="97">
        <f t="shared" ref="AA133:AA196" si="54">AA132-Y133</f>
        <v>209.8260298282882</v>
      </c>
      <c r="AB133" s="97">
        <f t="shared" ref="AB133:AB196" si="55">AB132-Y133+IF(MOD(60*HOUR(E133)+MINUTE(E133),MINUTE($C$35))=0,$C$34,0)</f>
        <v>299.82602982828837</v>
      </c>
      <c r="AC133" s="97">
        <f t="shared" ref="AC133:AC196" si="56">MAX(V133,W133)/4.184+AC132</f>
        <v>1859.268629326594</v>
      </c>
      <c r="AD133" s="96"/>
      <c r="AE133" s="105">
        <f t="shared" si="48"/>
        <v>16.733970171711917</v>
      </c>
    </row>
    <row r="134" spans="5:31" x14ac:dyDescent="0.35">
      <c r="E134" s="100">
        <f t="shared" si="39"/>
        <v>1.091666666666681</v>
      </c>
      <c r="F134" s="5">
        <v>20</v>
      </c>
      <c r="G134" s="5">
        <f t="shared" si="52"/>
        <v>140</v>
      </c>
      <c r="H134" s="106">
        <f t="shared" si="52"/>
        <v>3.8194444444444443E-3</v>
      </c>
      <c r="I134" s="110">
        <f t="shared" si="49"/>
        <v>1.7687499999999998E-2</v>
      </c>
      <c r="J134" s="5">
        <v>1.05</v>
      </c>
      <c r="K134" s="5">
        <v>0</v>
      </c>
      <c r="L134" s="5">
        <v>0</v>
      </c>
      <c r="N134" s="5">
        <f t="shared" si="41"/>
        <v>140</v>
      </c>
      <c r="O134" s="97">
        <f t="shared" si="42"/>
        <v>181.81818181818184</v>
      </c>
      <c r="P134" s="5">
        <f t="shared" si="43"/>
        <v>1.01</v>
      </c>
      <c r="R134" s="96">
        <f t="shared" si="44"/>
        <v>4.0927669874023209</v>
      </c>
      <c r="S134" s="95">
        <f t="shared" si="45"/>
        <v>0.98230027105246787</v>
      </c>
      <c r="T134" s="96">
        <f t="shared" si="46"/>
        <v>60.099071555555561</v>
      </c>
      <c r="U134" s="97"/>
      <c r="V134" s="97">
        <f t="shared" si="50"/>
        <v>52.089761657847724</v>
      </c>
      <c r="W134" s="96">
        <f t="shared" si="40"/>
        <v>59.035334279023893</v>
      </c>
      <c r="X134" s="96">
        <f t="shared" si="53"/>
        <v>0.80766973865723746</v>
      </c>
      <c r="Y134" s="96">
        <f t="shared" si="47"/>
        <v>1.2038482979858252</v>
      </c>
      <c r="Z134" s="96">
        <f t="shared" si="51"/>
        <v>197.93781846969773</v>
      </c>
      <c r="AA134" s="97">
        <f t="shared" si="54"/>
        <v>208.62218153030238</v>
      </c>
      <c r="AB134" s="97">
        <f t="shared" si="55"/>
        <v>298.62218153030256</v>
      </c>
      <c r="AC134" s="97">
        <f t="shared" si="56"/>
        <v>1873.3784128540854</v>
      </c>
      <c r="AD134" s="96"/>
      <c r="AE134" s="105">
        <f t="shared" si="48"/>
        <v>17.937818469697731</v>
      </c>
    </row>
    <row r="135" spans="5:31" x14ac:dyDescent="0.35">
      <c r="E135" s="100">
        <f t="shared" si="39"/>
        <v>1.0923611111111255</v>
      </c>
      <c r="F135" s="5">
        <v>20</v>
      </c>
      <c r="G135" s="5">
        <f t="shared" si="52"/>
        <v>140</v>
      </c>
      <c r="H135" s="106">
        <f t="shared" si="52"/>
        <v>3.8194444444444443E-3</v>
      </c>
      <c r="I135" s="110">
        <f t="shared" si="49"/>
        <v>1.7687499999999998E-2</v>
      </c>
      <c r="J135" s="5">
        <v>1.05</v>
      </c>
      <c r="K135" s="5">
        <v>0</v>
      </c>
      <c r="L135" s="5">
        <v>0</v>
      </c>
      <c r="N135" s="5">
        <f t="shared" si="41"/>
        <v>140</v>
      </c>
      <c r="O135" s="97">
        <f t="shared" si="42"/>
        <v>181.81818181818184</v>
      </c>
      <c r="P135" s="5">
        <f t="shared" si="43"/>
        <v>1.01</v>
      </c>
      <c r="R135" s="96">
        <f t="shared" si="44"/>
        <v>4.0927669874023209</v>
      </c>
      <c r="S135" s="95">
        <f t="shared" si="45"/>
        <v>0.98210063649812673</v>
      </c>
      <c r="T135" s="96">
        <f t="shared" si="46"/>
        <v>60.099071555555561</v>
      </c>
      <c r="U135" s="97"/>
      <c r="V135" s="97">
        <f t="shared" si="50"/>
        <v>52.089761657847724</v>
      </c>
      <c r="W135" s="96">
        <f t="shared" si="40"/>
        <v>59.023336427657583</v>
      </c>
      <c r="X135" s="96">
        <f t="shared" si="53"/>
        <v>0.8067814208458548</v>
      </c>
      <c r="Y135" s="96">
        <f t="shared" si="47"/>
        <v>1.1936734331076095</v>
      </c>
      <c r="Z135" s="96">
        <f t="shared" si="51"/>
        <v>199.13149190280535</v>
      </c>
      <c r="AA135" s="97">
        <f t="shared" si="54"/>
        <v>207.42850809719477</v>
      </c>
      <c r="AB135" s="97">
        <f t="shared" si="55"/>
        <v>297.42850809719494</v>
      </c>
      <c r="AC135" s="97">
        <f t="shared" si="56"/>
        <v>1887.4853288262789</v>
      </c>
      <c r="AD135" s="96"/>
      <c r="AE135" s="105">
        <f t="shared" si="48"/>
        <v>19.131491902805351</v>
      </c>
    </row>
    <row r="136" spans="5:31" x14ac:dyDescent="0.35">
      <c r="E136" s="100">
        <f t="shared" si="39"/>
        <v>1.0930555555555701</v>
      </c>
      <c r="F136" s="5">
        <v>20</v>
      </c>
      <c r="G136" s="5">
        <f t="shared" si="52"/>
        <v>140</v>
      </c>
      <c r="H136" s="106">
        <f t="shared" si="52"/>
        <v>3.8194444444444443E-3</v>
      </c>
      <c r="I136" s="110">
        <f t="shared" si="49"/>
        <v>1.7687499999999998E-2</v>
      </c>
      <c r="J136" s="5">
        <v>1.05</v>
      </c>
      <c r="K136" s="5">
        <v>0</v>
      </c>
      <c r="L136" s="5">
        <v>0</v>
      </c>
      <c r="N136" s="5">
        <f t="shared" si="41"/>
        <v>140</v>
      </c>
      <c r="O136" s="97">
        <f t="shared" si="42"/>
        <v>181.81818181818184</v>
      </c>
      <c r="P136" s="5">
        <f t="shared" si="43"/>
        <v>1.01</v>
      </c>
      <c r="R136" s="96">
        <f t="shared" si="44"/>
        <v>4.0927669874023209</v>
      </c>
      <c r="S136" s="95">
        <f t="shared" si="45"/>
        <v>0.98190268924493374</v>
      </c>
      <c r="T136" s="96">
        <f t="shared" si="46"/>
        <v>60.099071555555561</v>
      </c>
      <c r="U136" s="97"/>
      <c r="V136" s="97">
        <f t="shared" si="50"/>
        <v>52.089761657847724</v>
      </c>
      <c r="W136" s="96">
        <f t="shared" si="40"/>
        <v>59.011439981523708</v>
      </c>
      <c r="X136" s="96">
        <f t="shared" si="53"/>
        <v>0.80590061105164901</v>
      </c>
      <c r="Y136" s="96">
        <f t="shared" si="47"/>
        <v>1.1835885517199005</v>
      </c>
      <c r="Z136" s="96">
        <f t="shared" si="51"/>
        <v>200.31508045452526</v>
      </c>
      <c r="AA136" s="97">
        <f t="shared" si="54"/>
        <v>206.24491954547486</v>
      </c>
      <c r="AB136" s="97">
        <f t="shared" si="55"/>
        <v>296.24491954547506</v>
      </c>
      <c r="AC136" s="97">
        <f t="shared" si="56"/>
        <v>1901.5894014796067</v>
      </c>
      <c r="AD136" s="96"/>
      <c r="AE136" s="105">
        <f t="shared" si="48"/>
        <v>20.315080454525258</v>
      </c>
    </row>
    <row r="137" spans="5:31" x14ac:dyDescent="0.35">
      <c r="E137" s="100">
        <f t="shared" si="39"/>
        <v>1.0937500000000147</v>
      </c>
      <c r="F137" s="5">
        <v>20</v>
      </c>
      <c r="G137" s="5">
        <f t="shared" si="52"/>
        <v>140</v>
      </c>
      <c r="H137" s="106">
        <f t="shared" si="52"/>
        <v>3.8194444444444443E-3</v>
      </c>
      <c r="I137" s="110">
        <f t="shared" si="49"/>
        <v>1.7687499999999998E-2</v>
      </c>
      <c r="J137" s="5">
        <v>1.05</v>
      </c>
      <c r="K137" s="5">
        <v>0</v>
      </c>
      <c r="L137" s="5">
        <v>0</v>
      </c>
      <c r="N137" s="5">
        <f t="shared" si="41"/>
        <v>140</v>
      </c>
      <c r="O137" s="97">
        <f t="shared" si="42"/>
        <v>181.81818181818184</v>
      </c>
      <c r="P137" s="5">
        <f t="shared" si="43"/>
        <v>1.01</v>
      </c>
      <c r="R137" s="96">
        <f t="shared" si="44"/>
        <v>4.0927669874023209</v>
      </c>
      <c r="S137" s="95">
        <f t="shared" si="45"/>
        <v>0.98170641437089745</v>
      </c>
      <c r="T137" s="96">
        <f t="shared" si="46"/>
        <v>60.099071555555561</v>
      </c>
      <c r="U137" s="97"/>
      <c r="V137" s="97">
        <f t="shared" si="50"/>
        <v>52.089761657847724</v>
      </c>
      <c r="W137" s="96">
        <f t="shared" si="40"/>
        <v>58.999644043824446</v>
      </c>
      <c r="X137" s="96">
        <f t="shared" si="53"/>
        <v>0.80502724287594074</v>
      </c>
      <c r="Y137" s="96">
        <f t="shared" si="47"/>
        <v>1.1735927925350007</v>
      </c>
      <c r="Z137" s="96">
        <f t="shared" si="51"/>
        <v>201.48867324706026</v>
      </c>
      <c r="AA137" s="97">
        <f t="shared" si="54"/>
        <v>205.07132675293985</v>
      </c>
      <c r="AB137" s="97">
        <f t="shared" si="55"/>
        <v>295.07132675294008</v>
      </c>
      <c r="AC137" s="97">
        <f t="shared" si="56"/>
        <v>1915.6906548361615</v>
      </c>
      <c r="AD137" s="96"/>
      <c r="AE137" s="105">
        <f t="shared" si="48"/>
        <v>21.488673247060262</v>
      </c>
    </row>
    <row r="138" spans="5:31" x14ac:dyDescent="0.35">
      <c r="E138" s="100">
        <f t="shared" si="39"/>
        <v>1.0944444444444592</v>
      </c>
      <c r="F138" s="5">
        <v>20</v>
      </c>
      <c r="G138" s="5">
        <f t="shared" si="52"/>
        <v>140</v>
      </c>
      <c r="H138" s="106">
        <f t="shared" si="52"/>
        <v>3.8194444444444443E-3</v>
      </c>
      <c r="I138" s="110">
        <f t="shared" si="49"/>
        <v>1.7687499999999998E-2</v>
      </c>
      <c r="J138" s="5">
        <v>1.05</v>
      </c>
      <c r="K138" s="5">
        <v>0</v>
      </c>
      <c r="L138" s="5">
        <v>0</v>
      </c>
      <c r="N138" s="5">
        <f t="shared" si="41"/>
        <v>140</v>
      </c>
      <c r="O138" s="97">
        <f t="shared" si="42"/>
        <v>181.81818181818184</v>
      </c>
      <c r="P138" s="5">
        <f t="shared" si="43"/>
        <v>1.01</v>
      </c>
      <c r="R138" s="96">
        <f t="shared" si="44"/>
        <v>4.0927669874023209</v>
      </c>
      <c r="S138" s="95">
        <f t="shared" si="45"/>
        <v>0.98151179709685388</v>
      </c>
      <c r="T138" s="96">
        <f t="shared" si="46"/>
        <v>60.099071555555561</v>
      </c>
      <c r="U138" s="97"/>
      <c r="V138" s="97">
        <f t="shared" si="50"/>
        <v>52.089761657847724</v>
      </c>
      <c r="W138" s="96">
        <f t="shared" si="40"/>
        <v>58.987947726345752</v>
      </c>
      <c r="X138" s="96">
        <f t="shared" si="53"/>
        <v>0.80416125055559318</v>
      </c>
      <c r="Y138" s="96">
        <f t="shared" si="47"/>
        <v>1.1636853035765407</v>
      </c>
      <c r="Z138" s="96">
        <f t="shared" si="51"/>
        <v>202.65235855063679</v>
      </c>
      <c r="AA138" s="97">
        <f t="shared" si="54"/>
        <v>203.90764144936333</v>
      </c>
      <c r="AB138" s="97">
        <f t="shared" si="55"/>
        <v>293.90764144936355</v>
      </c>
      <c r="AC138" s="97">
        <f t="shared" si="56"/>
        <v>1929.7891127057469</v>
      </c>
      <c r="AD138" s="96"/>
      <c r="AE138" s="105">
        <f t="shared" si="48"/>
        <v>22.652358550636791</v>
      </c>
    </row>
    <row r="139" spans="5:31" x14ac:dyDescent="0.35">
      <c r="E139" s="100">
        <f t="shared" si="39"/>
        <v>1.0951388888889038</v>
      </c>
      <c r="F139" s="5">
        <v>20</v>
      </c>
      <c r="G139" s="5">
        <f t="shared" si="52"/>
        <v>140</v>
      </c>
      <c r="H139" s="106">
        <f t="shared" si="52"/>
        <v>3.8194444444444443E-3</v>
      </c>
      <c r="I139" s="110">
        <f t="shared" si="49"/>
        <v>1.7687499999999998E-2</v>
      </c>
      <c r="J139" s="5">
        <v>1.05</v>
      </c>
      <c r="K139" s="5">
        <v>0</v>
      </c>
      <c r="L139" s="5">
        <v>0</v>
      </c>
      <c r="N139" s="5">
        <f t="shared" si="41"/>
        <v>140</v>
      </c>
      <c r="O139" s="97">
        <f t="shared" si="42"/>
        <v>181.81818181818184</v>
      </c>
      <c r="P139" s="5">
        <f t="shared" si="43"/>
        <v>1.01</v>
      </c>
      <c r="R139" s="96">
        <f t="shared" si="44"/>
        <v>4.0927669874023209</v>
      </c>
      <c r="S139" s="95">
        <f t="shared" si="45"/>
        <v>0.98131882278492322</v>
      </c>
      <c r="T139" s="96">
        <f t="shared" si="46"/>
        <v>60.099071555555561</v>
      </c>
      <c r="U139" s="97"/>
      <c r="V139" s="97">
        <f t="shared" si="50"/>
        <v>52.089761657847724</v>
      </c>
      <c r="W139" s="96">
        <f t="shared" si="40"/>
        <v>58.976350149364649</v>
      </c>
      <c r="X139" s="96">
        <f t="shared" si="53"/>
        <v>0.80330256895614183</v>
      </c>
      <c r="Y139" s="96">
        <f t="shared" si="47"/>
        <v>1.153865242061801</v>
      </c>
      <c r="Z139" s="96">
        <f t="shared" si="51"/>
        <v>203.8062237926986</v>
      </c>
      <c r="AA139" s="97">
        <f t="shared" si="54"/>
        <v>202.75377620730151</v>
      </c>
      <c r="AB139" s="97">
        <f t="shared" si="55"/>
        <v>292.75377620730177</v>
      </c>
      <c r="AC139" s="97">
        <f t="shared" si="56"/>
        <v>1943.8847986879086</v>
      </c>
      <c r="AD139" s="96"/>
      <c r="AE139" s="105">
        <f t="shared" si="48"/>
        <v>23.806223792698603</v>
      </c>
    </row>
    <row r="140" spans="5:31" x14ac:dyDescent="0.35">
      <c r="E140" s="100">
        <f t="shared" si="39"/>
        <v>1.0958333333333483</v>
      </c>
      <c r="F140" s="5">
        <v>20</v>
      </c>
      <c r="G140" s="5">
        <f t="shared" si="52"/>
        <v>140</v>
      </c>
      <c r="H140" s="106">
        <f t="shared" si="52"/>
        <v>3.8194444444444443E-3</v>
      </c>
      <c r="I140" s="110">
        <f t="shared" si="49"/>
        <v>1.7687499999999998E-2</v>
      </c>
      <c r="J140" s="5">
        <v>1.05</v>
      </c>
      <c r="K140" s="5">
        <v>0</v>
      </c>
      <c r="L140" s="5">
        <v>0</v>
      </c>
      <c r="N140" s="5">
        <f t="shared" si="41"/>
        <v>140</v>
      </c>
      <c r="O140" s="97">
        <f t="shared" si="42"/>
        <v>181.81818181818184</v>
      </c>
      <c r="P140" s="5">
        <f t="shared" si="43"/>
        <v>1.01</v>
      </c>
      <c r="R140" s="96">
        <f t="shared" si="44"/>
        <v>4.0927669874023209</v>
      </c>
      <c r="S140" s="95">
        <f t="shared" si="45"/>
        <v>0.98112747693698354</v>
      </c>
      <c r="T140" s="96">
        <f t="shared" si="46"/>
        <v>60.099071555555561</v>
      </c>
      <c r="U140" s="97"/>
      <c r="V140" s="97">
        <f t="shared" si="50"/>
        <v>52.089761657847724</v>
      </c>
      <c r="W140" s="96">
        <f t="shared" si="40"/>
        <v>58.964850441557459</v>
      </c>
      <c r="X140" s="96">
        <f t="shared" si="53"/>
        <v>0.80245113356501008</v>
      </c>
      <c r="Y140" s="96">
        <f t="shared" si="47"/>
        <v>1.1441317742857668</v>
      </c>
      <c r="Z140" s="96">
        <f t="shared" si="51"/>
        <v>204.95035556698437</v>
      </c>
      <c r="AA140" s="97">
        <f t="shared" si="54"/>
        <v>201.60964443301575</v>
      </c>
      <c r="AB140" s="97">
        <f t="shared" si="55"/>
        <v>291.609644433016</v>
      </c>
      <c r="AC140" s="97">
        <f t="shared" si="56"/>
        <v>1957.9777361739405</v>
      </c>
      <c r="AD140" s="96"/>
      <c r="AE140" s="105">
        <f t="shared" si="48"/>
        <v>24.950355566984371</v>
      </c>
    </row>
    <row r="141" spans="5:31" x14ac:dyDescent="0.35">
      <c r="E141" s="100">
        <f t="shared" si="39"/>
        <v>1.0965277777777929</v>
      </c>
      <c r="F141" s="5">
        <v>20</v>
      </c>
      <c r="G141" s="5">
        <f t="shared" si="52"/>
        <v>140</v>
      </c>
      <c r="H141" s="106">
        <f t="shared" si="52"/>
        <v>3.8194444444444443E-3</v>
      </c>
      <c r="I141" s="110">
        <f t="shared" si="49"/>
        <v>1.7687499999999998E-2</v>
      </c>
      <c r="J141" s="5">
        <v>1.05</v>
      </c>
      <c r="K141" s="5">
        <v>0</v>
      </c>
      <c r="L141" s="5">
        <v>0</v>
      </c>
      <c r="N141" s="5">
        <f t="shared" si="41"/>
        <v>140</v>
      </c>
      <c r="O141" s="97">
        <f t="shared" si="42"/>
        <v>181.81818181818184</v>
      </c>
      <c r="P141" s="5">
        <f t="shared" si="43"/>
        <v>1.01</v>
      </c>
      <c r="R141" s="96">
        <f t="shared" si="44"/>
        <v>4.0927669874023209</v>
      </c>
      <c r="S141" s="95">
        <f t="shared" si="45"/>
        <v>0.98093774519316712</v>
      </c>
      <c r="T141" s="96">
        <f t="shared" si="46"/>
        <v>60.099071555555561</v>
      </c>
      <c r="U141" s="97"/>
      <c r="V141" s="97">
        <f t="shared" si="50"/>
        <v>52.089761657847724</v>
      </c>
      <c r="W141" s="96">
        <f t="shared" si="40"/>
        <v>58.953447739909478</v>
      </c>
      <c r="X141" s="96">
        <f t="shared" si="53"/>
        <v>0.80160688048481099</v>
      </c>
      <c r="Y141" s="96">
        <f t="shared" si="47"/>
        <v>1.1344840755069197</v>
      </c>
      <c r="Z141" s="96">
        <f t="shared" si="51"/>
        <v>206.08483964249129</v>
      </c>
      <c r="AA141" s="97">
        <f t="shared" si="54"/>
        <v>200.47516035750883</v>
      </c>
      <c r="AB141" s="97">
        <f t="shared" si="55"/>
        <v>290.47516035750908</v>
      </c>
      <c r="AC141" s="97">
        <f t="shared" si="56"/>
        <v>1972.0679483488709</v>
      </c>
      <c r="AD141" s="96"/>
      <c r="AE141" s="105">
        <f t="shared" si="48"/>
        <v>26.084839642491289</v>
      </c>
    </row>
    <row r="142" spans="5:31" x14ac:dyDescent="0.35">
      <c r="E142" s="100">
        <f t="shared" si="39"/>
        <v>1.0972222222222374</v>
      </c>
      <c r="F142" s="5">
        <v>20</v>
      </c>
      <c r="G142" s="5">
        <f t="shared" si="52"/>
        <v>140</v>
      </c>
      <c r="H142" s="106">
        <f t="shared" si="52"/>
        <v>3.8194444444444443E-3</v>
      </c>
      <c r="I142" s="110">
        <f t="shared" si="49"/>
        <v>1.7687499999999998E-2</v>
      </c>
      <c r="J142" s="5">
        <v>1.05</v>
      </c>
      <c r="K142" s="5">
        <v>0</v>
      </c>
      <c r="L142" s="5">
        <v>0</v>
      </c>
      <c r="N142" s="5">
        <f t="shared" si="41"/>
        <v>140</v>
      </c>
      <c r="O142" s="97">
        <f t="shared" si="42"/>
        <v>181.81818181818184</v>
      </c>
      <c r="P142" s="5">
        <f t="shared" si="43"/>
        <v>1.01</v>
      </c>
      <c r="R142" s="96">
        <f t="shared" si="44"/>
        <v>4.0927669874023209</v>
      </c>
      <c r="S142" s="95">
        <f t="shared" si="45"/>
        <v>0.98074961333037347</v>
      </c>
      <c r="T142" s="96">
        <f t="shared" si="46"/>
        <v>60.099071555555561</v>
      </c>
      <c r="U142" s="97"/>
      <c r="V142" s="97">
        <f t="shared" si="50"/>
        <v>52.089761657847724</v>
      </c>
      <c r="W142" s="96">
        <f t="shared" si="40"/>
        <v>58.942141189625566</v>
      </c>
      <c r="X142" s="96">
        <f t="shared" si="53"/>
        <v>0.80076974642673326</v>
      </c>
      <c r="Y142" s="96">
        <f t="shared" si="47"/>
        <v>1.1249213298347123</v>
      </c>
      <c r="Z142" s="96">
        <f t="shared" si="51"/>
        <v>207.20976097232599</v>
      </c>
      <c r="AA142" s="97">
        <f t="shared" si="54"/>
        <v>199.35023902767412</v>
      </c>
      <c r="AB142" s="97">
        <f t="shared" si="55"/>
        <v>289.35023902767438</v>
      </c>
      <c r="AC142" s="97">
        <f t="shared" si="56"/>
        <v>1986.1554581934276</v>
      </c>
      <c r="AD142" s="96"/>
      <c r="AE142" s="105">
        <f t="shared" si="48"/>
        <v>27.209760972325995</v>
      </c>
    </row>
    <row r="143" spans="5:31" x14ac:dyDescent="0.35">
      <c r="E143" s="100">
        <f t="shared" si="39"/>
        <v>1.097916666666682</v>
      </c>
      <c r="F143" s="5">
        <v>20</v>
      </c>
      <c r="G143" s="5">
        <f t="shared" si="52"/>
        <v>140</v>
      </c>
      <c r="H143" s="106">
        <f t="shared" si="52"/>
        <v>3.8194444444444443E-3</v>
      </c>
      <c r="I143" s="110">
        <f t="shared" si="49"/>
        <v>1.7687499999999998E-2</v>
      </c>
      <c r="J143" s="5">
        <v>1.05</v>
      </c>
      <c r="K143" s="5">
        <v>0</v>
      </c>
      <c r="L143" s="5">
        <v>0</v>
      </c>
      <c r="N143" s="5">
        <f t="shared" si="41"/>
        <v>140</v>
      </c>
      <c r="O143" s="97">
        <f t="shared" si="42"/>
        <v>181.81818181818184</v>
      </c>
      <c r="P143" s="5">
        <f t="shared" si="43"/>
        <v>1.01</v>
      </c>
      <c r="R143" s="96">
        <f t="shared" si="44"/>
        <v>4.0927669874023209</v>
      </c>
      <c r="S143" s="95">
        <f t="shared" si="45"/>
        <v>0.98056306726080134</v>
      </c>
      <c r="T143" s="96">
        <f t="shared" si="46"/>
        <v>60.099071555555561</v>
      </c>
      <c r="U143" s="97"/>
      <c r="V143" s="97">
        <f t="shared" si="50"/>
        <v>52.089761657847724</v>
      </c>
      <c r="W143" s="96">
        <f t="shared" si="40"/>
        <v>58.930929944041942</v>
      </c>
      <c r="X143" s="96">
        <f t="shared" si="53"/>
        <v>0.7999396687040099</v>
      </c>
      <c r="Y143" s="96">
        <f t="shared" si="47"/>
        <v>1.1154427301187064</v>
      </c>
      <c r="Z143" s="96">
        <f t="shared" si="51"/>
        <v>208.3252037024447</v>
      </c>
      <c r="AA143" s="97">
        <f t="shared" si="54"/>
        <v>198.23479629755542</v>
      </c>
      <c r="AB143" s="97">
        <f t="shared" si="55"/>
        <v>288.23479629755565</v>
      </c>
      <c r="AC143" s="97">
        <f t="shared" si="56"/>
        <v>2000.2402884859807</v>
      </c>
      <c r="AD143" s="96"/>
      <c r="AE143" s="105">
        <f t="shared" si="48"/>
        <v>28.325203702444696</v>
      </c>
    </row>
    <row r="144" spans="5:31" x14ac:dyDescent="0.35">
      <c r="E144" s="100">
        <f t="shared" si="39"/>
        <v>1.0986111111111265</v>
      </c>
      <c r="F144" s="5">
        <v>20</v>
      </c>
      <c r="G144" s="5">
        <f t="shared" si="52"/>
        <v>140</v>
      </c>
      <c r="H144" s="106">
        <f t="shared" si="52"/>
        <v>3.8194444444444443E-3</v>
      </c>
      <c r="I144" s="110">
        <f t="shared" si="49"/>
        <v>1.7687499999999998E-2</v>
      </c>
      <c r="J144" s="5">
        <v>1.05</v>
      </c>
      <c r="K144" s="5">
        <v>0</v>
      </c>
      <c r="L144" s="5">
        <v>0</v>
      </c>
      <c r="N144" s="5">
        <f t="shared" si="41"/>
        <v>140</v>
      </c>
      <c r="O144" s="97">
        <f t="shared" si="42"/>
        <v>181.81818181818184</v>
      </c>
      <c r="P144" s="5">
        <f t="shared" si="43"/>
        <v>1.01</v>
      </c>
      <c r="R144" s="96">
        <f t="shared" si="44"/>
        <v>4.0927669874023209</v>
      </c>
      <c r="S144" s="95">
        <f t="shared" si="45"/>
        <v>0.98037809303049928</v>
      </c>
      <c r="T144" s="96">
        <f t="shared" si="46"/>
        <v>60.099071555555561</v>
      </c>
      <c r="U144" s="97"/>
      <c r="V144" s="97">
        <f t="shared" si="50"/>
        <v>52.089761657847724</v>
      </c>
      <c r="W144" s="96">
        <f t="shared" si="40"/>
        <v>58.919813164539086</v>
      </c>
      <c r="X144" s="96">
        <f t="shared" si="53"/>
        <v>0.79911658522546891</v>
      </c>
      <c r="Y144" s="96">
        <f t="shared" si="47"/>
        <v>1.1060474778393456</v>
      </c>
      <c r="Z144" s="96">
        <f t="shared" si="51"/>
        <v>209.43125118028405</v>
      </c>
      <c r="AA144" s="97">
        <f t="shared" si="54"/>
        <v>197.12874881971607</v>
      </c>
      <c r="AB144" s="97">
        <f t="shared" si="55"/>
        <v>287.12874881971629</v>
      </c>
      <c r="AC144" s="97">
        <f t="shared" si="56"/>
        <v>2014.3224618044653</v>
      </c>
      <c r="AD144" s="96"/>
      <c r="AE144" s="105">
        <f t="shared" si="48"/>
        <v>29.43125118028405</v>
      </c>
    </row>
    <row r="145" spans="5:31" x14ac:dyDescent="0.35">
      <c r="E145" s="100">
        <f t="shared" si="39"/>
        <v>1.0993055555555711</v>
      </c>
      <c r="F145" s="5">
        <v>20</v>
      </c>
      <c r="G145" s="5">
        <f t="shared" si="52"/>
        <v>140</v>
      </c>
      <c r="H145" s="106">
        <f t="shared" si="52"/>
        <v>3.8194444444444443E-3</v>
      </c>
      <c r="I145" s="110">
        <f t="shared" si="49"/>
        <v>1.7687499999999998E-2</v>
      </c>
      <c r="J145" s="5">
        <v>1.05</v>
      </c>
      <c r="K145" s="5">
        <v>0</v>
      </c>
      <c r="L145" s="5">
        <v>0</v>
      </c>
      <c r="N145" s="5">
        <f t="shared" si="41"/>
        <v>140</v>
      </c>
      <c r="O145" s="97">
        <f t="shared" si="42"/>
        <v>181.81818181818184</v>
      </c>
      <c r="P145" s="5">
        <f t="shared" si="43"/>
        <v>1.01</v>
      </c>
      <c r="R145" s="96">
        <f t="shared" si="44"/>
        <v>4.0927669874023209</v>
      </c>
      <c r="S145" s="95">
        <f t="shared" si="45"/>
        <v>0.98019467681793482</v>
      </c>
      <c r="T145" s="96">
        <f t="shared" si="46"/>
        <v>60.099071555555561</v>
      </c>
      <c r="U145" s="97"/>
      <c r="V145" s="97">
        <f t="shared" si="50"/>
        <v>52.089761657847724</v>
      </c>
      <c r="W145" s="96">
        <f t="shared" si="40"/>
        <v>58.908790020455726</v>
      </c>
      <c r="X145" s="96">
        <f t="shared" si="53"/>
        <v>0.79830043448916477</v>
      </c>
      <c r="Y145" s="96">
        <f t="shared" si="47"/>
        <v>1.096734783000336</v>
      </c>
      <c r="Z145" s="96">
        <f t="shared" si="51"/>
        <v>210.52798596328438</v>
      </c>
      <c r="AA145" s="97">
        <f t="shared" si="54"/>
        <v>196.03201403671574</v>
      </c>
      <c r="AB145" s="97">
        <f t="shared" si="55"/>
        <v>286.03201403671596</v>
      </c>
      <c r="AC145" s="97">
        <f t="shared" si="56"/>
        <v>2028.4020005282837</v>
      </c>
      <c r="AD145" s="96"/>
      <c r="AE145" s="105">
        <f t="shared" si="48"/>
        <v>0.52798596328437952</v>
      </c>
    </row>
    <row r="146" spans="5:31" x14ac:dyDescent="0.35">
      <c r="E146" s="100">
        <f t="shared" si="39"/>
        <v>1.1000000000000156</v>
      </c>
      <c r="F146" s="5">
        <v>20</v>
      </c>
      <c r="G146" s="5">
        <f t="shared" si="52"/>
        <v>140</v>
      </c>
      <c r="H146" s="106">
        <f t="shared" si="52"/>
        <v>3.8194444444444443E-3</v>
      </c>
      <c r="I146" s="110">
        <f t="shared" si="49"/>
        <v>1.7687499999999998E-2</v>
      </c>
      <c r="J146" s="5">
        <v>1.05</v>
      </c>
      <c r="K146" s="5">
        <v>0</v>
      </c>
      <c r="L146" s="5">
        <v>0</v>
      </c>
      <c r="N146" s="5">
        <f t="shared" si="41"/>
        <v>140</v>
      </c>
      <c r="O146" s="97">
        <f t="shared" si="42"/>
        <v>181.81818181818184</v>
      </c>
      <c r="P146" s="5">
        <f t="shared" si="43"/>
        <v>1.01</v>
      </c>
      <c r="R146" s="96">
        <f t="shared" si="44"/>
        <v>4.0927669874023209</v>
      </c>
      <c r="S146" s="95">
        <f t="shared" si="45"/>
        <v>0.98001280493258092</v>
      </c>
      <c r="T146" s="96">
        <f t="shared" si="46"/>
        <v>60.099071555555561</v>
      </c>
      <c r="U146" s="97"/>
      <c r="V146" s="97">
        <f t="shared" si="50"/>
        <v>52.089761657847724</v>
      </c>
      <c r="W146" s="96">
        <f t="shared" si="40"/>
        <v>58.897859689003894</v>
      </c>
      <c r="X146" s="96">
        <f t="shared" si="53"/>
        <v>0.79749115557608896</v>
      </c>
      <c r="Y146" s="96">
        <f t="shared" si="47"/>
        <v>1.0875038640226022</v>
      </c>
      <c r="Z146" s="96">
        <f t="shared" si="51"/>
        <v>211.61548982730699</v>
      </c>
      <c r="AA146" s="97">
        <f t="shared" si="54"/>
        <v>194.94451017269313</v>
      </c>
      <c r="AB146" s="97">
        <f t="shared" si="55"/>
        <v>284.94451017269336</v>
      </c>
      <c r="AC146" s="97">
        <f t="shared" si="56"/>
        <v>2042.4789268401871</v>
      </c>
      <c r="AD146" s="96"/>
      <c r="AE146" s="105">
        <f t="shared" si="48"/>
        <v>1.6154898273069875</v>
      </c>
    </row>
    <row r="147" spans="5:31" x14ac:dyDescent="0.35">
      <c r="E147" s="100">
        <f t="shared" si="39"/>
        <v>1.1006944444444602</v>
      </c>
      <c r="F147" s="5">
        <v>20</v>
      </c>
      <c r="G147" s="5">
        <f t="shared" si="52"/>
        <v>140</v>
      </c>
      <c r="H147" s="106">
        <f t="shared" si="52"/>
        <v>3.8194444444444443E-3</v>
      </c>
      <c r="I147" s="110">
        <f t="shared" si="49"/>
        <v>1.7687499999999998E-2</v>
      </c>
      <c r="J147" s="5">
        <v>1.05</v>
      </c>
      <c r="K147" s="5">
        <v>0</v>
      </c>
      <c r="L147" s="5">
        <v>0</v>
      </c>
      <c r="N147" s="5">
        <f t="shared" si="41"/>
        <v>140</v>
      </c>
      <c r="O147" s="97">
        <f t="shared" si="42"/>
        <v>181.81818181818184</v>
      </c>
      <c r="P147" s="5">
        <f t="shared" si="43"/>
        <v>1.01</v>
      </c>
      <c r="R147" s="96">
        <f t="shared" si="44"/>
        <v>4.0927669874023209</v>
      </c>
      <c r="S147" s="95">
        <f t="shared" si="45"/>
        <v>0.97983246381351996</v>
      </c>
      <c r="T147" s="96">
        <f t="shared" si="46"/>
        <v>60.099071555555561</v>
      </c>
      <c r="U147" s="97"/>
      <c r="V147" s="97">
        <f t="shared" si="50"/>
        <v>52.089761657847724</v>
      </c>
      <c r="W147" s="96">
        <f t="shared" si="40"/>
        <v>58.887021355185041</v>
      </c>
      <c r="X147" s="96">
        <f t="shared" si="53"/>
        <v>0.79668868814395899</v>
      </c>
      <c r="Y147" s="96">
        <f t="shared" si="47"/>
        <v>1.0783539476397996</v>
      </c>
      <c r="Z147" s="96">
        <f t="shared" si="51"/>
        <v>212.6938437749468</v>
      </c>
      <c r="AA147" s="97">
        <f t="shared" si="54"/>
        <v>193.86615622505332</v>
      </c>
      <c r="AB147" s="97">
        <f t="shared" si="55"/>
        <v>283.86615622505354</v>
      </c>
      <c r="AC147" s="97">
        <f t="shared" si="56"/>
        <v>2056.5532627281377</v>
      </c>
      <c r="AD147" s="96"/>
      <c r="AE147" s="105">
        <f t="shared" si="48"/>
        <v>2.6938437749467994</v>
      </c>
    </row>
    <row r="148" spans="5:31" x14ac:dyDescent="0.35">
      <c r="E148" s="100">
        <f t="shared" si="39"/>
        <v>1.1013888888889047</v>
      </c>
      <c r="F148" s="5">
        <v>20</v>
      </c>
      <c r="G148" s="5">
        <f t="shared" si="52"/>
        <v>140</v>
      </c>
      <c r="H148" s="106">
        <f t="shared" si="52"/>
        <v>3.8194444444444443E-3</v>
      </c>
      <c r="I148" s="110">
        <f t="shared" si="49"/>
        <v>1.7687499999999998E-2</v>
      </c>
      <c r="J148" s="5">
        <v>1.05</v>
      </c>
      <c r="K148" s="5">
        <v>0</v>
      </c>
      <c r="L148" s="5">
        <v>0</v>
      </c>
      <c r="N148" s="5">
        <f t="shared" si="41"/>
        <v>140</v>
      </c>
      <c r="O148" s="97">
        <f t="shared" si="42"/>
        <v>181.81818181818184</v>
      </c>
      <c r="P148" s="5">
        <f t="shared" si="43"/>
        <v>1.01</v>
      </c>
      <c r="R148" s="96">
        <f t="shared" si="44"/>
        <v>4.0927669874023209</v>
      </c>
      <c r="S148" s="95">
        <f t="shared" si="45"/>
        <v>0.9796536400280651</v>
      </c>
      <c r="T148" s="96">
        <f t="shared" si="46"/>
        <v>60.099071555555561</v>
      </c>
      <c r="U148" s="97"/>
      <c r="V148" s="97">
        <f t="shared" si="50"/>
        <v>52.089761657847724</v>
      </c>
      <c r="W148" s="96">
        <f t="shared" si="40"/>
        <v>58.876274211707155</v>
      </c>
      <c r="X148" s="96">
        <f t="shared" si="53"/>
        <v>0.79589297242108425</v>
      </c>
      <c r="Y148" s="96">
        <f t="shared" si="47"/>
        <v>1.0692842687953468</v>
      </c>
      <c r="Z148" s="96">
        <f t="shared" si="51"/>
        <v>213.76312804374214</v>
      </c>
      <c r="AA148" s="97">
        <f t="shared" si="54"/>
        <v>192.79687195625797</v>
      </c>
      <c r="AB148" s="97">
        <f t="shared" si="55"/>
        <v>282.7968719562582</v>
      </c>
      <c r="AC148" s="97">
        <f t="shared" si="56"/>
        <v>2070.6250299871499</v>
      </c>
      <c r="AD148" s="96"/>
      <c r="AE148" s="105">
        <f t="shared" si="48"/>
        <v>3.7631280437421424</v>
      </c>
    </row>
    <row r="149" spans="5:31" x14ac:dyDescent="0.35">
      <c r="E149" s="100">
        <f t="shared" si="39"/>
        <v>1.1020833333333493</v>
      </c>
      <c r="F149" s="5">
        <v>20</v>
      </c>
      <c r="G149" s="5">
        <f t="shared" si="52"/>
        <v>140</v>
      </c>
      <c r="H149" s="106">
        <f t="shared" si="52"/>
        <v>3.8194444444444443E-3</v>
      </c>
      <c r="I149" s="110">
        <f t="shared" si="49"/>
        <v>1.7687499999999998E-2</v>
      </c>
      <c r="J149" s="5">
        <v>1.05</v>
      </c>
      <c r="K149" s="5">
        <v>0</v>
      </c>
      <c r="L149" s="5">
        <v>0</v>
      </c>
      <c r="N149" s="5">
        <f t="shared" si="41"/>
        <v>140</v>
      </c>
      <c r="O149" s="97">
        <f t="shared" si="42"/>
        <v>181.81818181818184</v>
      </c>
      <c r="P149" s="5">
        <f t="shared" si="43"/>
        <v>1.01</v>
      </c>
      <c r="R149" s="96">
        <f t="shared" si="44"/>
        <v>4.0927669874023209</v>
      </c>
      <c r="S149" s="95">
        <f t="shared" si="45"/>
        <v>0.97947632027039955</v>
      </c>
      <c r="T149" s="96">
        <f t="shared" si="46"/>
        <v>60.099071555555561</v>
      </c>
      <c r="U149" s="97"/>
      <c r="V149" s="97">
        <f t="shared" si="50"/>
        <v>52.089761657847724</v>
      </c>
      <c r="W149" s="96">
        <f t="shared" si="40"/>
        <v>58.865617458902996</v>
      </c>
      <c r="X149" s="96">
        <f t="shared" si="53"/>
        <v>0.79510394920030847</v>
      </c>
      <c r="Y149" s="96">
        <f t="shared" si="47"/>
        <v>1.0602940705409667</v>
      </c>
      <c r="Z149" s="96">
        <f t="shared" si="51"/>
        <v>214.82342211428312</v>
      </c>
      <c r="AA149" s="97">
        <f t="shared" si="54"/>
        <v>191.736577885717</v>
      </c>
      <c r="AB149" s="97">
        <f t="shared" si="55"/>
        <v>281.73657788571722</v>
      </c>
      <c r="AC149" s="97">
        <f t="shared" si="56"/>
        <v>2084.6942502211132</v>
      </c>
      <c r="AD149" s="96"/>
      <c r="AE149" s="105">
        <f t="shared" si="48"/>
        <v>4.8234221142831188</v>
      </c>
    </row>
    <row r="150" spans="5:31" x14ac:dyDescent="0.35">
      <c r="E150" s="100">
        <f t="shared" si="39"/>
        <v>1.1027777777777938</v>
      </c>
      <c r="F150" s="5">
        <v>20</v>
      </c>
      <c r="G150" s="5">
        <f t="shared" si="52"/>
        <v>140</v>
      </c>
      <c r="H150" s="106">
        <f t="shared" si="52"/>
        <v>3.8194444444444443E-3</v>
      </c>
      <c r="I150" s="110">
        <f t="shared" si="49"/>
        <v>1.7687499999999998E-2</v>
      </c>
      <c r="J150" s="5">
        <v>1.05</v>
      </c>
      <c r="K150" s="5">
        <v>0</v>
      </c>
      <c r="L150" s="5">
        <v>0</v>
      </c>
      <c r="N150" s="5">
        <f t="shared" si="41"/>
        <v>140</v>
      </c>
      <c r="O150" s="97">
        <f t="shared" si="42"/>
        <v>181.81818181818184</v>
      </c>
      <c r="P150" s="5">
        <f t="shared" si="43"/>
        <v>1.01</v>
      </c>
      <c r="R150" s="96">
        <f t="shared" si="44"/>
        <v>4.0927669874023209</v>
      </c>
      <c r="S150" s="95">
        <f t="shared" si="45"/>
        <v>0.97930049136023101</v>
      </c>
      <c r="T150" s="96">
        <f t="shared" si="46"/>
        <v>60.099071555555561</v>
      </c>
      <c r="U150" s="97"/>
      <c r="V150" s="97">
        <f t="shared" si="50"/>
        <v>52.089761657847724</v>
      </c>
      <c r="W150" s="96">
        <f t="shared" si="40"/>
        <v>58.855050304649247</v>
      </c>
      <c r="X150" s="96">
        <f t="shared" si="53"/>
        <v>0.79432155983302621</v>
      </c>
      <c r="Y150" s="96">
        <f t="shared" si="47"/>
        <v>1.051382603936694</v>
      </c>
      <c r="Z150" s="96">
        <f t="shared" si="51"/>
        <v>215.87480471821982</v>
      </c>
      <c r="AA150" s="97">
        <f t="shared" si="54"/>
        <v>190.6851952817803</v>
      </c>
      <c r="AB150" s="97">
        <f t="shared" si="55"/>
        <v>280.68519528178052</v>
      </c>
      <c r="AC150" s="97">
        <f t="shared" si="56"/>
        <v>2098.7609448445951</v>
      </c>
      <c r="AD150" s="96"/>
      <c r="AE150" s="105">
        <f t="shared" si="48"/>
        <v>5.8748047182198206</v>
      </c>
    </row>
    <row r="151" spans="5:31" x14ac:dyDescent="0.35">
      <c r="E151" s="100">
        <f t="shared" si="39"/>
        <v>1.1034722222222384</v>
      </c>
      <c r="F151" s="5">
        <v>20</v>
      </c>
      <c r="G151" s="5">
        <f t="shared" si="52"/>
        <v>140</v>
      </c>
      <c r="H151" s="106">
        <f t="shared" si="52"/>
        <v>3.8194444444444443E-3</v>
      </c>
      <c r="I151" s="110">
        <f t="shared" si="49"/>
        <v>1.7687499999999998E-2</v>
      </c>
      <c r="J151" s="5">
        <v>1.05</v>
      </c>
      <c r="K151" s="5">
        <v>0</v>
      </c>
      <c r="L151" s="5">
        <v>0</v>
      </c>
      <c r="N151" s="5">
        <f t="shared" si="41"/>
        <v>140</v>
      </c>
      <c r="O151" s="97">
        <f t="shared" si="42"/>
        <v>181.81818181818184</v>
      </c>
      <c r="P151" s="5">
        <f t="shared" si="43"/>
        <v>1.01</v>
      </c>
      <c r="R151" s="96">
        <f t="shared" si="44"/>
        <v>4.0927669874023209</v>
      </c>
      <c r="S151" s="95">
        <f t="shared" si="45"/>
        <v>0.97912614024146449</v>
      </c>
      <c r="T151" s="96">
        <f t="shared" si="46"/>
        <v>60.099071555555561</v>
      </c>
      <c r="U151" s="97"/>
      <c r="V151" s="97">
        <f t="shared" si="50"/>
        <v>52.089761657847724</v>
      </c>
      <c r="W151" s="96">
        <f t="shared" si="40"/>
        <v>58.8445719642867</v>
      </c>
      <c r="X151" s="96">
        <f t="shared" si="53"/>
        <v>0.79354574622327356</v>
      </c>
      <c r="Y151" s="96">
        <f t="shared" si="47"/>
        <v>1.0425491279523342</v>
      </c>
      <c r="Z151" s="96">
        <f t="shared" si="51"/>
        <v>216.91735384617215</v>
      </c>
      <c r="AA151" s="97">
        <f t="shared" si="54"/>
        <v>189.64264615382797</v>
      </c>
      <c r="AB151" s="97">
        <f t="shared" si="55"/>
        <v>279.6426461538282</v>
      </c>
      <c r="AC151" s="97">
        <f t="shared" si="56"/>
        <v>2112.8251350846253</v>
      </c>
      <c r="AD151" s="96"/>
      <c r="AE151" s="105">
        <f t="shared" si="48"/>
        <v>6.9173538461721478</v>
      </c>
    </row>
    <row r="152" spans="5:31" x14ac:dyDescent="0.35">
      <c r="E152" s="100">
        <f t="shared" si="39"/>
        <v>1.1041666666666829</v>
      </c>
      <c r="F152" s="5">
        <v>20</v>
      </c>
      <c r="G152" s="5">
        <f t="shared" si="52"/>
        <v>140</v>
      </c>
      <c r="H152" s="106">
        <f t="shared" si="52"/>
        <v>3.8194444444444443E-3</v>
      </c>
      <c r="I152" s="110">
        <f t="shared" si="49"/>
        <v>1.7687499999999998E-2</v>
      </c>
      <c r="J152" s="5">
        <v>1.05</v>
      </c>
      <c r="K152" s="5">
        <v>0</v>
      </c>
      <c r="L152" s="5">
        <v>0</v>
      </c>
      <c r="N152" s="5">
        <f t="shared" si="41"/>
        <v>140</v>
      </c>
      <c r="O152" s="97">
        <f t="shared" si="42"/>
        <v>181.81818181818184</v>
      </c>
      <c r="P152" s="5">
        <f t="shared" si="43"/>
        <v>1.01</v>
      </c>
      <c r="R152" s="96">
        <f t="shared" si="44"/>
        <v>4.0927669874023209</v>
      </c>
      <c r="S152" s="95">
        <f t="shared" si="45"/>
        <v>0.97895325398089006</v>
      </c>
      <c r="T152" s="96">
        <f t="shared" si="46"/>
        <v>60.099071555555561</v>
      </c>
      <c r="U152" s="97"/>
      <c r="V152" s="97">
        <f t="shared" si="50"/>
        <v>52.089761657847724</v>
      </c>
      <c r="W152" s="96">
        <f t="shared" si="40"/>
        <v>58.834181660541468</v>
      </c>
      <c r="X152" s="96">
        <f t="shared" si="53"/>
        <v>0.79277645082189196</v>
      </c>
      <c r="Y152" s="96">
        <f t="shared" si="47"/>
        <v>1.0337929093703571</v>
      </c>
      <c r="Z152" s="96">
        <f t="shared" si="51"/>
        <v>217.95114675554251</v>
      </c>
      <c r="AA152" s="97">
        <f t="shared" si="54"/>
        <v>188.60885324445761</v>
      </c>
      <c r="AB152" s="97">
        <f t="shared" si="55"/>
        <v>278.60885324445786</v>
      </c>
      <c r="AC152" s="97">
        <f t="shared" si="56"/>
        <v>2126.8868419824603</v>
      </c>
      <c r="AD152" s="96"/>
      <c r="AE152" s="105">
        <f t="shared" si="48"/>
        <v>7.9511467555425099</v>
      </c>
    </row>
    <row r="153" spans="5:31" x14ac:dyDescent="0.35">
      <c r="E153" s="100">
        <f t="shared" si="39"/>
        <v>1.1048611111111275</v>
      </c>
      <c r="F153" s="5">
        <v>20</v>
      </c>
      <c r="G153" s="5">
        <f t="shared" si="52"/>
        <v>140</v>
      </c>
      <c r="H153" s="106">
        <f t="shared" si="52"/>
        <v>3.8194444444444443E-3</v>
      </c>
      <c r="I153" s="110">
        <f t="shared" si="49"/>
        <v>1.7687499999999998E-2</v>
      </c>
      <c r="J153" s="5">
        <v>1.05</v>
      </c>
      <c r="K153" s="5">
        <v>0</v>
      </c>
      <c r="L153" s="5">
        <v>0</v>
      </c>
      <c r="N153" s="5">
        <f t="shared" si="41"/>
        <v>140</v>
      </c>
      <c r="O153" s="97">
        <f t="shared" si="42"/>
        <v>181.81818181818184</v>
      </c>
      <c r="P153" s="5">
        <f t="shared" si="43"/>
        <v>1.01</v>
      </c>
      <c r="R153" s="96">
        <f t="shared" si="44"/>
        <v>4.0927669874023209</v>
      </c>
      <c r="S153" s="95">
        <f t="shared" si="45"/>
        <v>0.97878181976688783</v>
      </c>
      <c r="T153" s="96">
        <f t="shared" si="46"/>
        <v>60.099071555555561</v>
      </c>
      <c r="U153" s="97"/>
      <c r="V153" s="97">
        <f t="shared" si="50"/>
        <v>52.089761657847724</v>
      </c>
      <c r="W153" s="96">
        <f t="shared" si="40"/>
        <v>58.823878623447079</v>
      </c>
      <c r="X153" s="96">
        <f t="shared" si="53"/>
        <v>0.79201361662076275</v>
      </c>
      <c r="Y153" s="96">
        <f t="shared" si="47"/>
        <v>1.0251132226901787</v>
      </c>
      <c r="Z153" s="96">
        <f t="shared" si="51"/>
        <v>218.97625997823269</v>
      </c>
      <c r="AA153" s="97">
        <f t="shared" si="54"/>
        <v>187.58374002176743</v>
      </c>
      <c r="AB153" s="97">
        <f t="shared" si="55"/>
        <v>277.58374002176771</v>
      </c>
      <c r="AC153" s="97">
        <f t="shared" si="56"/>
        <v>2140.94608639533</v>
      </c>
      <c r="AD153" s="96"/>
      <c r="AE153" s="105">
        <f t="shared" si="48"/>
        <v>8.9762599782326902</v>
      </c>
    </row>
    <row r="154" spans="5:31" x14ac:dyDescent="0.35">
      <c r="E154" s="100">
        <f t="shared" si="39"/>
        <v>1.1055555555555721</v>
      </c>
      <c r="F154" s="5">
        <v>20</v>
      </c>
      <c r="G154" s="5">
        <f t="shared" si="52"/>
        <v>140</v>
      </c>
      <c r="H154" s="106">
        <f t="shared" si="52"/>
        <v>3.8194444444444443E-3</v>
      </c>
      <c r="I154" s="110">
        <f t="shared" si="49"/>
        <v>1.7687499999999998E-2</v>
      </c>
      <c r="J154" s="5">
        <v>1.05</v>
      </c>
      <c r="K154" s="5">
        <v>0</v>
      </c>
      <c r="L154" s="5">
        <v>0</v>
      </c>
      <c r="N154" s="5">
        <f t="shared" si="41"/>
        <v>140</v>
      </c>
      <c r="O154" s="97">
        <f t="shared" si="42"/>
        <v>181.81818181818184</v>
      </c>
      <c r="P154" s="5">
        <f t="shared" si="43"/>
        <v>1.01</v>
      </c>
      <c r="R154" s="96">
        <f t="shared" si="44"/>
        <v>4.0927669874023209</v>
      </c>
      <c r="S154" s="95">
        <f t="shared" si="45"/>
        <v>0.97861182490814724</v>
      </c>
      <c r="T154" s="96">
        <f t="shared" si="46"/>
        <v>60.099071555555561</v>
      </c>
      <c r="U154" s="97"/>
      <c r="V154" s="97">
        <f t="shared" si="50"/>
        <v>52.089761657847724</v>
      </c>
      <c r="W154" s="96">
        <f t="shared" si="40"/>
        <v>58.813662090267549</v>
      </c>
      <c r="X154" s="96">
        <f t="shared" si="53"/>
        <v>0.79125718714711302</v>
      </c>
      <c r="Y154" s="96">
        <f t="shared" si="47"/>
        <v>1.0165093500338285</v>
      </c>
      <c r="Z154" s="96">
        <f t="shared" si="51"/>
        <v>219.99276932826652</v>
      </c>
      <c r="AA154" s="97">
        <f t="shared" si="54"/>
        <v>186.5672306717336</v>
      </c>
      <c r="AB154" s="97">
        <f t="shared" si="55"/>
        <v>276.56723067173391</v>
      </c>
      <c r="AC154" s="97">
        <f t="shared" si="56"/>
        <v>2155.0028889981663</v>
      </c>
      <c r="AD154" s="96"/>
      <c r="AE154" s="105">
        <f t="shared" si="48"/>
        <v>9.9927693282665189</v>
      </c>
    </row>
    <row r="155" spans="5:31" x14ac:dyDescent="0.35">
      <c r="E155" s="100">
        <f t="shared" si="39"/>
        <v>1.1062500000000166</v>
      </c>
      <c r="F155" s="5">
        <v>20</v>
      </c>
      <c r="G155" s="5">
        <f t="shared" si="52"/>
        <v>140</v>
      </c>
      <c r="H155" s="106">
        <f t="shared" si="52"/>
        <v>3.8194444444444443E-3</v>
      </c>
      <c r="I155" s="110">
        <f t="shared" si="49"/>
        <v>1.7687499999999998E-2</v>
      </c>
      <c r="J155" s="5">
        <v>1.05</v>
      </c>
      <c r="K155" s="5">
        <v>0</v>
      </c>
      <c r="L155" s="5">
        <v>0</v>
      </c>
      <c r="N155" s="5">
        <f t="shared" si="41"/>
        <v>140</v>
      </c>
      <c r="O155" s="97">
        <f t="shared" si="42"/>
        <v>181.81818181818184</v>
      </c>
      <c r="P155" s="5">
        <f t="shared" si="43"/>
        <v>1.01</v>
      </c>
      <c r="R155" s="96">
        <f t="shared" si="44"/>
        <v>4.0927669874023209</v>
      </c>
      <c r="S155" s="95">
        <f t="shared" si="45"/>
        <v>0.97844325683240452</v>
      </c>
      <c r="T155" s="96">
        <f t="shared" si="46"/>
        <v>60.099071555555561</v>
      </c>
      <c r="U155" s="97"/>
      <c r="V155" s="97">
        <f t="shared" si="50"/>
        <v>52.089761657847724</v>
      </c>
      <c r="W155" s="96">
        <f t="shared" si="40"/>
        <v>58.803531305421508</v>
      </c>
      <c r="X155" s="96">
        <f t="shared" si="53"/>
        <v>0.79050710645789091</v>
      </c>
      <c r="Y155" s="96">
        <f t="shared" si="47"/>
        <v>1.0079805810529749</v>
      </c>
      <c r="Z155" s="96">
        <f t="shared" si="51"/>
        <v>221.0007499093195</v>
      </c>
      <c r="AA155" s="97">
        <f t="shared" si="54"/>
        <v>185.55925009068062</v>
      </c>
      <c r="AB155" s="97">
        <f t="shared" si="55"/>
        <v>275.55925009068096</v>
      </c>
      <c r="AC155" s="97">
        <f t="shared" si="56"/>
        <v>2169.0572702853128</v>
      </c>
      <c r="AD155" s="96"/>
      <c r="AE155" s="105">
        <f t="shared" si="48"/>
        <v>11.000749909319495</v>
      </c>
    </row>
    <row r="156" spans="5:31" x14ac:dyDescent="0.35">
      <c r="E156" s="100">
        <f t="shared" si="39"/>
        <v>1.1069444444444612</v>
      </c>
      <c r="F156" s="5">
        <v>20</v>
      </c>
      <c r="G156" s="5">
        <f t="shared" si="52"/>
        <v>140</v>
      </c>
      <c r="H156" s="106">
        <f t="shared" si="52"/>
        <v>3.8194444444444443E-3</v>
      </c>
      <c r="I156" s="110">
        <f t="shared" si="49"/>
        <v>1.7687499999999998E-2</v>
      </c>
      <c r="J156" s="5">
        <v>1.05</v>
      </c>
      <c r="K156" s="5">
        <v>0</v>
      </c>
      <c r="L156" s="5">
        <v>0</v>
      </c>
      <c r="N156" s="5">
        <f t="shared" si="41"/>
        <v>140</v>
      </c>
      <c r="O156" s="97">
        <f t="shared" si="42"/>
        <v>181.81818181818184</v>
      </c>
      <c r="P156" s="5">
        <f t="shared" si="43"/>
        <v>1.01</v>
      </c>
      <c r="R156" s="96">
        <f t="shared" si="44"/>
        <v>4.0927669874023209</v>
      </c>
      <c r="S156" s="95">
        <f t="shared" si="45"/>
        <v>0.97827610308519264</v>
      </c>
      <c r="T156" s="96">
        <f t="shared" si="46"/>
        <v>60.099071555555561</v>
      </c>
      <c r="U156" s="97"/>
      <c r="V156" s="97">
        <f t="shared" si="50"/>
        <v>52.089761657847724</v>
      </c>
      <c r="W156" s="96">
        <f t="shared" si="40"/>
        <v>58.793485520407039</v>
      </c>
      <c r="X156" s="96">
        <f t="shared" si="53"/>
        <v>0.78976331913420961</v>
      </c>
      <c r="Y156" s="96">
        <f t="shared" si="47"/>
        <v>0.99952621283727872</v>
      </c>
      <c r="Z156" s="96">
        <f t="shared" si="51"/>
        <v>222.00027612215678</v>
      </c>
      <c r="AA156" s="97">
        <f t="shared" si="54"/>
        <v>184.55972387784334</v>
      </c>
      <c r="AB156" s="97">
        <f t="shared" si="55"/>
        <v>274.55972387784368</v>
      </c>
      <c r="AC156" s="97">
        <f t="shared" si="56"/>
        <v>2183.1092505722172</v>
      </c>
      <c r="AD156" s="96"/>
      <c r="AE156" s="105">
        <f t="shared" si="48"/>
        <v>12.000276122156777</v>
      </c>
    </row>
    <row r="157" spans="5:31" x14ac:dyDescent="0.35">
      <c r="E157" s="100">
        <f t="shared" si="39"/>
        <v>1.1076388888889057</v>
      </c>
      <c r="F157" s="5">
        <v>20</v>
      </c>
      <c r="G157" s="5">
        <f t="shared" si="52"/>
        <v>140</v>
      </c>
      <c r="H157" s="106">
        <f t="shared" si="52"/>
        <v>3.8194444444444443E-3</v>
      </c>
      <c r="I157" s="110">
        <f t="shared" si="49"/>
        <v>1.7687499999999998E-2</v>
      </c>
      <c r="J157" s="5">
        <v>1.05</v>
      </c>
      <c r="K157" s="5">
        <v>0</v>
      </c>
      <c r="L157" s="5">
        <v>0</v>
      </c>
      <c r="N157" s="5">
        <f t="shared" si="41"/>
        <v>140</v>
      </c>
      <c r="O157" s="97">
        <f t="shared" si="42"/>
        <v>181.81818181818184</v>
      </c>
      <c r="P157" s="5">
        <f t="shared" si="43"/>
        <v>1.01</v>
      </c>
      <c r="R157" s="96">
        <f t="shared" si="44"/>
        <v>4.0927669874023209</v>
      </c>
      <c r="S157" s="95">
        <f t="shared" si="45"/>
        <v>0.97811035132860835</v>
      </c>
      <c r="T157" s="96">
        <f t="shared" si="46"/>
        <v>60.099071555555561</v>
      </c>
      <c r="U157" s="97"/>
      <c r="V157" s="97">
        <f t="shared" si="50"/>
        <v>52.089761657847724</v>
      </c>
      <c r="W157" s="96">
        <f t="shared" si="40"/>
        <v>58.78352399372762</v>
      </c>
      <c r="X157" s="96">
        <f t="shared" si="53"/>
        <v>0.78902577027585852</v>
      </c>
      <c r="Y157" s="96">
        <f t="shared" si="47"/>
        <v>0.99114554982405589</v>
      </c>
      <c r="Z157" s="96">
        <f t="shared" si="51"/>
        <v>222.99142167198085</v>
      </c>
      <c r="AA157" s="97">
        <f t="shared" si="54"/>
        <v>183.56857832801927</v>
      </c>
      <c r="AB157" s="97">
        <f t="shared" si="55"/>
        <v>273.56857832801961</v>
      </c>
      <c r="AC157" s="97">
        <f t="shared" si="56"/>
        <v>2197.1588499971044</v>
      </c>
      <c r="AD157" s="96"/>
      <c r="AE157" s="105">
        <f t="shared" si="48"/>
        <v>12.991421671980845</v>
      </c>
    </row>
    <row r="158" spans="5:31" x14ac:dyDescent="0.35">
      <c r="E158" s="100">
        <f t="shared" si="39"/>
        <v>1.1083333333333503</v>
      </c>
      <c r="F158" s="5">
        <v>20</v>
      </c>
      <c r="G158" s="5">
        <f t="shared" si="52"/>
        <v>140</v>
      </c>
      <c r="H158" s="106">
        <f t="shared" si="52"/>
        <v>3.8194444444444443E-3</v>
      </c>
      <c r="I158" s="110">
        <f t="shared" si="49"/>
        <v>1.7687499999999998E-2</v>
      </c>
      <c r="J158" s="5">
        <v>1.05</v>
      </c>
      <c r="K158" s="5">
        <v>0</v>
      </c>
      <c r="L158" s="5">
        <v>0</v>
      </c>
      <c r="N158" s="5">
        <f t="shared" si="41"/>
        <v>140</v>
      </c>
      <c r="O158" s="97">
        <f t="shared" si="42"/>
        <v>181.81818181818184</v>
      </c>
      <c r="P158" s="5">
        <f t="shared" si="43"/>
        <v>1.01</v>
      </c>
      <c r="R158" s="96">
        <f t="shared" si="44"/>
        <v>4.0927669874023209</v>
      </c>
      <c r="S158" s="95">
        <f t="shared" si="45"/>
        <v>0.97794598934009414</v>
      </c>
      <c r="T158" s="96">
        <f t="shared" si="46"/>
        <v>60.099071555555561</v>
      </c>
      <c r="U158" s="97"/>
      <c r="V158" s="97">
        <f t="shared" si="50"/>
        <v>52.089761657847724</v>
      </c>
      <c r="W158" s="96">
        <f t="shared" si="40"/>
        <v>58.773645990818892</v>
      </c>
      <c r="X158" s="96">
        <f t="shared" si="53"/>
        <v>0.78829440549588214</v>
      </c>
      <c r="Y158" s="96">
        <f t="shared" si="47"/>
        <v>0.98283790370924129</v>
      </c>
      <c r="Z158" s="96">
        <f t="shared" si="51"/>
        <v>223.9742595756901</v>
      </c>
      <c r="AA158" s="97">
        <f t="shared" si="54"/>
        <v>182.58574042431002</v>
      </c>
      <c r="AB158" s="97">
        <f t="shared" si="55"/>
        <v>272.58574042431036</v>
      </c>
      <c r="AC158" s="97">
        <f t="shared" si="56"/>
        <v>2211.2060885226347</v>
      </c>
      <c r="AD158" s="96"/>
      <c r="AE158" s="105">
        <f t="shared" si="48"/>
        <v>13.974259575690098</v>
      </c>
    </row>
    <row r="159" spans="5:31" x14ac:dyDescent="0.35">
      <c r="E159" s="100">
        <f t="shared" si="39"/>
        <v>1.1090277777777948</v>
      </c>
      <c r="F159" s="5">
        <v>20</v>
      </c>
      <c r="G159" s="5">
        <f t="shared" si="52"/>
        <v>140</v>
      </c>
      <c r="H159" s="106">
        <f t="shared" si="52"/>
        <v>3.8194444444444443E-3</v>
      </c>
      <c r="I159" s="110">
        <f t="shared" si="49"/>
        <v>1.7687499999999998E-2</v>
      </c>
      <c r="J159" s="5">
        <v>1.05</v>
      </c>
      <c r="K159" s="5">
        <v>0</v>
      </c>
      <c r="L159" s="5">
        <v>0</v>
      </c>
      <c r="N159" s="5">
        <f t="shared" si="41"/>
        <v>140</v>
      </c>
      <c r="O159" s="97">
        <f t="shared" si="42"/>
        <v>181.81818181818184</v>
      </c>
      <c r="P159" s="5">
        <f t="shared" si="43"/>
        <v>1.01</v>
      </c>
      <c r="R159" s="96">
        <f t="shared" si="44"/>
        <v>4.0927669874023209</v>
      </c>
      <c r="S159" s="95">
        <f t="shared" si="45"/>
        <v>0.97778300501123405</v>
      </c>
      <c r="T159" s="96">
        <f t="shared" si="46"/>
        <v>60.099071555555561</v>
      </c>
      <c r="U159" s="97"/>
      <c r="V159" s="97">
        <f t="shared" si="50"/>
        <v>52.089761657847724</v>
      </c>
      <c r="W159" s="96">
        <f t="shared" si="40"/>
        <v>58.763850783976295</v>
      </c>
      <c r="X159" s="96">
        <f t="shared" si="53"/>
        <v>0.78756917091522305</v>
      </c>
      <c r="Y159" s="96">
        <f t="shared" si="47"/>
        <v>0.97460259335959976</v>
      </c>
      <c r="Z159" s="96">
        <f t="shared" si="51"/>
        <v>224.9488621690497</v>
      </c>
      <c r="AA159" s="97">
        <f t="shared" si="54"/>
        <v>181.61113783095041</v>
      </c>
      <c r="AB159" s="97">
        <f t="shared" si="55"/>
        <v>271.61113783095078</v>
      </c>
      <c r="AC159" s="97">
        <f t="shared" si="56"/>
        <v>2225.2509859375432</v>
      </c>
      <c r="AD159" s="96"/>
      <c r="AE159" s="105">
        <f t="shared" si="48"/>
        <v>14.948862169049704</v>
      </c>
    </row>
    <row r="160" spans="5:31" x14ac:dyDescent="0.35">
      <c r="E160" s="100">
        <f t="shared" si="39"/>
        <v>1.1097222222222394</v>
      </c>
      <c r="F160" s="5">
        <v>20</v>
      </c>
      <c r="G160" s="5">
        <f t="shared" si="52"/>
        <v>140</v>
      </c>
      <c r="H160" s="106">
        <f t="shared" si="52"/>
        <v>3.8194444444444443E-3</v>
      </c>
      <c r="I160" s="110">
        <f t="shared" si="49"/>
        <v>1.7687499999999998E-2</v>
      </c>
      <c r="J160" s="5">
        <v>1.05</v>
      </c>
      <c r="K160" s="5">
        <v>0</v>
      </c>
      <c r="L160" s="5">
        <v>0</v>
      </c>
      <c r="N160" s="5">
        <f t="shared" si="41"/>
        <v>140</v>
      </c>
      <c r="O160" s="97">
        <f t="shared" si="42"/>
        <v>181.81818181818184</v>
      </c>
      <c r="P160" s="5">
        <f t="shared" si="43"/>
        <v>1.01</v>
      </c>
      <c r="R160" s="96">
        <f t="shared" si="44"/>
        <v>4.0927669874023209</v>
      </c>
      <c r="S160" s="95">
        <f t="shared" si="45"/>
        <v>0.97762138634656459</v>
      </c>
      <c r="T160" s="96">
        <f t="shared" si="46"/>
        <v>60.099071555555561</v>
      </c>
      <c r="U160" s="97"/>
      <c r="V160" s="97">
        <f t="shared" si="50"/>
        <v>52.089761657847724</v>
      </c>
      <c r="W160" s="96">
        <f t="shared" si="40"/>
        <v>58.75413765228361</v>
      </c>
      <c r="X160" s="96">
        <f t="shared" si="53"/>
        <v>0.78685001315743108</v>
      </c>
      <c r="Y160" s="96">
        <f t="shared" si="47"/>
        <v>0.96643894472620284</v>
      </c>
      <c r="Z160" s="96">
        <f t="shared" si="51"/>
        <v>225.91530111377591</v>
      </c>
      <c r="AA160" s="97">
        <f t="shared" si="54"/>
        <v>180.64469888622421</v>
      </c>
      <c r="AB160" s="97">
        <f t="shared" si="55"/>
        <v>270.6446988862246</v>
      </c>
      <c r="AC160" s="97">
        <f t="shared" si="56"/>
        <v>2239.293561858261</v>
      </c>
      <c r="AD160" s="96"/>
      <c r="AE160" s="105">
        <f t="shared" si="48"/>
        <v>15.915301113775911</v>
      </c>
    </row>
    <row r="161" spans="5:31" x14ac:dyDescent="0.35">
      <c r="E161" s="100">
        <f t="shared" si="39"/>
        <v>1.1104166666666839</v>
      </c>
      <c r="F161" s="5">
        <v>20</v>
      </c>
      <c r="G161" s="5">
        <f t="shared" si="52"/>
        <v>140</v>
      </c>
      <c r="H161" s="106">
        <f t="shared" si="52"/>
        <v>3.8194444444444443E-3</v>
      </c>
      <c r="I161" s="110">
        <f t="shared" si="49"/>
        <v>1.7687499999999998E-2</v>
      </c>
      <c r="J161" s="5">
        <v>1.05</v>
      </c>
      <c r="K161" s="5">
        <v>0</v>
      </c>
      <c r="L161" s="5">
        <v>0</v>
      </c>
      <c r="N161" s="5">
        <f t="shared" si="41"/>
        <v>140</v>
      </c>
      <c r="O161" s="97">
        <f t="shared" si="42"/>
        <v>181.81818181818184</v>
      </c>
      <c r="P161" s="5">
        <f t="shared" si="43"/>
        <v>1.01</v>
      </c>
      <c r="R161" s="96">
        <f t="shared" si="44"/>
        <v>4.0927669874023209</v>
      </c>
      <c r="S161" s="95">
        <f t="shared" si="45"/>
        <v>0.97746112146239983</v>
      </c>
      <c r="T161" s="96">
        <f t="shared" si="46"/>
        <v>60.099071555555561</v>
      </c>
      <c r="U161" s="97"/>
      <c r="V161" s="97">
        <f t="shared" si="50"/>
        <v>52.089761657847724</v>
      </c>
      <c r="W161" s="96">
        <f t="shared" si="40"/>
        <v>58.744505881542352</v>
      </c>
      <c r="X161" s="96">
        <f t="shared" si="53"/>
        <v>0.78613687934343601</v>
      </c>
      <c r="Y161" s="96">
        <f t="shared" si="47"/>
        <v>0.95834629075912559</v>
      </c>
      <c r="Z161" s="96">
        <f t="shared" si="51"/>
        <v>226.87364740453503</v>
      </c>
      <c r="AA161" s="97">
        <f t="shared" si="54"/>
        <v>179.68635259546508</v>
      </c>
      <c r="AB161" s="97">
        <f t="shared" si="55"/>
        <v>269.68635259546545</v>
      </c>
      <c r="AC161" s="97">
        <f t="shared" si="56"/>
        <v>2253.3338357305224</v>
      </c>
      <c r="AD161" s="96"/>
      <c r="AE161" s="105">
        <f t="shared" si="48"/>
        <v>16.873647404535035</v>
      </c>
    </row>
    <row r="162" spans="5:31" x14ac:dyDescent="0.35">
      <c r="E162" s="100">
        <f t="shared" si="39"/>
        <v>1.1111111111111285</v>
      </c>
      <c r="F162" s="5">
        <v>20</v>
      </c>
      <c r="G162" s="5">
        <f t="shared" si="52"/>
        <v>140</v>
      </c>
      <c r="H162" s="106">
        <f t="shared" si="52"/>
        <v>3.8194444444444443E-3</v>
      </c>
      <c r="I162" s="110">
        <f t="shared" si="49"/>
        <v>1.7687499999999998E-2</v>
      </c>
      <c r="J162" s="5">
        <v>1.05</v>
      </c>
      <c r="K162" s="5">
        <v>0</v>
      </c>
      <c r="L162" s="5">
        <v>0</v>
      </c>
      <c r="N162" s="5">
        <f t="shared" si="41"/>
        <v>140</v>
      </c>
      <c r="O162" s="97">
        <f t="shared" si="42"/>
        <v>181.81818181818184</v>
      </c>
      <c r="P162" s="5">
        <f t="shared" si="43"/>
        <v>1.01</v>
      </c>
      <c r="R162" s="96">
        <f t="shared" si="44"/>
        <v>4.0927669874023209</v>
      </c>
      <c r="S162" s="95">
        <f t="shared" si="45"/>
        <v>0.97730219858567169</v>
      </c>
      <c r="T162" s="96">
        <f t="shared" si="46"/>
        <v>60.099071555555561</v>
      </c>
      <c r="U162" s="97"/>
      <c r="V162" s="97">
        <f t="shared" si="50"/>
        <v>52.089761657847724</v>
      </c>
      <c r="W162" s="96">
        <f t="shared" si="40"/>
        <v>58.734954764202051</v>
      </c>
      <c r="X162" s="96">
        <f t="shared" si="53"/>
        <v>0.78542971708638232</v>
      </c>
      <c r="Y162" s="96">
        <f t="shared" si="47"/>
        <v>0.95032397132334212</v>
      </c>
      <c r="Z162" s="96">
        <f t="shared" si="51"/>
        <v>227.82397137585838</v>
      </c>
      <c r="AA162" s="97">
        <f t="shared" si="54"/>
        <v>178.73602862414174</v>
      </c>
      <c r="AB162" s="97">
        <f t="shared" si="55"/>
        <v>298.73602862414214</v>
      </c>
      <c r="AC162" s="97">
        <f t="shared" si="56"/>
        <v>2267.3718268309531</v>
      </c>
      <c r="AD162" s="96"/>
      <c r="AE162" s="105">
        <f t="shared" si="48"/>
        <v>17.823971375858378</v>
      </c>
    </row>
    <row r="163" spans="5:31" x14ac:dyDescent="0.35">
      <c r="E163" s="100">
        <f t="shared" si="39"/>
        <v>1.111805555555573</v>
      </c>
      <c r="F163" s="5">
        <v>20</v>
      </c>
      <c r="G163" s="5">
        <f t="shared" si="52"/>
        <v>140</v>
      </c>
      <c r="H163" s="106">
        <f t="shared" si="52"/>
        <v>3.8194444444444443E-3</v>
      </c>
      <c r="I163" s="110">
        <f t="shared" si="49"/>
        <v>1.7687499999999998E-2</v>
      </c>
      <c r="J163" s="5">
        <v>1.05</v>
      </c>
      <c r="K163" s="5">
        <v>0</v>
      </c>
      <c r="L163" s="5">
        <v>0</v>
      </c>
      <c r="N163" s="5">
        <f t="shared" si="41"/>
        <v>140</v>
      </c>
      <c r="O163" s="97">
        <f t="shared" si="42"/>
        <v>181.81818181818184</v>
      </c>
      <c r="P163" s="5">
        <f t="shared" si="43"/>
        <v>1.01</v>
      </c>
      <c r="R163" s="96">
        <f t="shared" si="44"/>
        <v>4.0927669874023209</v>
      </c>
      <c r="S163" s="95">
        <f t="shared" si="45"/>
        <v>0.98211951579868284</v>
      </c>
      <c r="T163" s="96">
        <f t="shared" si="46"/>
        <v>60.099071555555561</v>
      </c>
      <c r="U163" s="97"/>
      <c r="V163" s="97">
        <f t="shared" si="50"/>
        <v>52.089761657847724</v>
      </c>
      <c r="W163" s="96">
        <f t="shared" si="40"/>
        <v>59.024471056092622</v>
      </c>
      <c r="X163" s="96">
        <f t="shared" si="53"/>
        <v>0.8068654284416632</v>
      </c>
      <c r="Y163" s="96">
        <f t="shared" si="47"/>
        <v>1.1946354901424034</v>
      </c>
      <c r="Z163" s="96">
        <f t="shared" si="51"/>
        <v>229.01860686600079</v>
      </c>
      <c r="AA163" s="97">
        <f t="shared" si="54"/>
        <v>177.54139313399932</v>
      </c>
      <c r="AB163" s="97">
        <f t="shared" si="55"/>
        <v>297.54139313399975</v>
      </c>
      <c r="AC163" s="97">
        <f t="shared" si="56"/>
        <v>2281.479013985851</v>
      </c>
      <c r="AD163" s="96"/>
      <c r="AE163" s="105">
        <f t="shared" si="48"/>
        <v>19.018606866000795</v>
      </c>
    </row>
    <row r="164" spans="5:31" x14ac:dyDescent="0.35">
      <c r="E164" s="100">
        <f t="shared" si="39"/>
        <v>1.1125000000000176</v>
      </c>
      <c r="F164" s="5">
        <v>20</v>
      </c>
      <c r="G164" s="5">
        <f t="shared" si="52"/>
        <v>140</v>
      </c>
      <c r="H164" s="106">
        <f t="shared" si="52"/>
        <v>3.8194444444444443E-3</v>
      </c>
      <c r="I164" s="110">
        <f t="shared" si="49"/>
        <v>1.7687499999999998E-2</v>
      </c>
      <c r="J164" s="5">
        <v>1.05</v>
      </c>
      <c r="K164" s="5">
        <v>0</v>
      </c>
      <c r="L164" s="5">
        <v>0</v>
      </c>
      <c r="N164" s="5">
        <f t="shared" si="41"/>
        <v>140</v>
      </c>
      <c r="O164" s="97">
        <f t="shared" si="42"/>
        <v>181.81818181818184</v>
      </c>
      <c r="P164" s="5">
        <f t="shared" si="43"/>
        <v>1.01</v>
      </c>
      <c r="R164" s="96">
        <f t="shared" si="44"/>
        <v>4.0927669874023209</v>
      </c>
      <c r="S164" s="95">
        <f t="shared" si="45"/>
        <v>0.98192140900725922</v>
      </c>
      <c r="T164" s="96">
        <f t="shared" si="46"/>
        <v>60.099071555555561</v>
      </c>
      <c r="U164" s="97"/>
      <c r="V164" s="97">
        <f t="shared" si="50"/>
        <v>52.089761657847724</v>
      </c>
      <c r="W164" s="96">
        <f t="shared" si="40"/>
        <v>59.01256502185921</v>
      </c>
      <c r="X164" s="96">
        <f t="shared" si="53"/>
        <v>0.80598390874704806</v>
      </c>
      <c r="Y164" s="96">
        <f t="shared" si="47"/>
        <v>1.1845421034481003</v>
      </c>
      <c r="Z164" s="96">
        <f t="shared" si="51"/>
        <v>230.2031489694489</v>
      </c>
      <c r="AA164" s="97">
        <f t="shared" si="54"/>
        <v>176.35685103055121</v>
      </c>
      <c r="AB164" s="97">
        <f t="shared" si="55"/>
        <v>296.35685103055164</v>
      </c>
      <c r="AC164" s="97">
        <f t="shared" si="56"/>
        <v>2295.5833555302725</v>
      </c>
      <c r="AD164" s="96"/>
      <c r="AE164" s="105">
        <f t="shared" si="48"/>
        <v>20.203148969448904</v>
      </c>
    </row>
    <row r="165" spans="5:31" x14ac:dyDescent="0.35">
      <c r="E165" s="100">
        <f t="shared" si="39"/>
        <v>1.1131944444444621</v>
      </c>
      <c r="F165" s="5">
        <v>20</v>
      </c>
      <c r="G165" s="5">
        <f t="shared" si="52"/>
        <v>140</v>
      </c>
      <c r="H165" s="106">
        <f t="shared" si="52"/>
        <v>3.8194444444444443E-3</v>
      </c>
      <c r="I165" s="110">
        <f t="shared" si="49"/>
        <v>1.7687499999999998E-2</v>
      </c>
      <c r="J165" s="5">
        <v>1.05</v>
      </c>
      <c r="K165" s="5">
        <v>0</v>
      </c>
      <c r="L165" s="5">
        <v>0</v>
      </c>
      <c r="N165" s="5">
        <f t="shared" si="41"/>
        <v>140</v>
      </c>
      <c r="O165" s="97">
        <f t="shared" si="42"/>
        <v>181.81818181818184</v>
      </c>
      <c r="P165" s="5">
        <f t="shared" si="43"/>
        <v>1.01</v>
      </c>
      <c r="R165" s="96">
        <f t="shared" si="44"/>
        <v>4.0927669874023209</v>
      </c>
      <c r="S165" s="95">
        <f t="shared" si="45"/>
        <v>0.98172497600543018</v>
      </c>
      <c r="T165" s="96">
        <f t="shared" si="46"/>
        <v>60.099071555555561</v>
      </c>
      <c r="U165" s="97"/>
      <c r="V165" s="97">
        <f t="shared" si="50"/>
        <v>52.089761657847724</v>
      </c>
      <c r="W165" s="96">
        <f t="shared" si="40"/>
        <v>59.000759580826411</v>
      </c>
      <c r="X165" s="96">
        <f t="shared" si="53"/>
        <v>0.80510983694698313</v>
      </c>
      <c r="Y165" s="96">
        <f t="shared" si="47"/>
        <v>1.174537920319852</v>
      </c>
      <c r="Z165" s="96">
        <f t="shared" si="51"/>
        <v>231.37768688976877</v>
      </c>
      <c r="AA165" s="97">
        <f t="shared" si="54"/>
        <v>175.18231311023135</v>
      </c>
      <c r="AB165" s="97">
        <f t="shared" si="55"/>
        <v>295.1823131102318</v>
      </c>
      <c r="AC165" s="97">
        <f t="shared" si="56"/>
        <v>2309.6848755065694</v>
      </c>
      <c r="AD165" s="96"/>
      <c r="AE165" s="105">
        <f t="shared" si="48"/>
        <v>21.377686889768768</v>
      </c>
    </row>
    <row r="166" spans="5:31" x14ac:dyDescent="0.35">
      <c r="E166" s="100">
        <f t="shared" si="39"/>
        <v>1.1138888888889067</v>
      </c>
      <c r="F166" s="5">
        <v>20</v>
      </c>
      <c r="G166" s="5">
        <f t="shared" si="52"/>
        <v>140</v>
      </c>
      <c r="H166" s="106">
        <f t="shared" si="52"/>
        <v>3.8194444444444443E-3</v>
      </c>
      <c r="I166" s="110">
        <f t="shared" si="49"/>
        <v>1.7687499999999998E-2</v>
      </c>
      <c r="J166" s="5">
        <v>1.05</v>
      </c>
      <c r="K166" s="5">
        <v>0</v>
      </c>
      <c r="L166" s="5">
        <v>0</v>
      </c>
      <c r="N166" s="5">
        <f t="shared" si="41"/>
        <v>140</v>
      </c>
      <c r="O166" s="97">
        <f t="shared" si="42"/>
        <v>181.81818181818184</v>
      </c>
      <c r="P166" s="5">
        <f t="shared" si="43"/>
        <v>1.01</v>
      </c>
      <c r="R166" s="96">
        <f t="shared" si="44"/>
        <v>4.0927669874023209</v>
      </c>
      <c r="S166" s="95">
        <f t="shared" si="45"/>
        <v>0.9815302020005392</v>
      </c>
      <c r="T166" s="96">
        <f t="shared" si="46"/>
        <v>60.099071555555561</v>
      </c>
      <c r="U166" s="97"/>
      <c r="V166" s="97">
        <f t="shared" si="50"/>
        <v>52.089761657847724</v>
      </c>
      <c r="W166" s="96">
        <f t="shared" si="40"/>
        <v>58.989053843969309</v>
      </c>
      <c r="X166" s="96">
        <f t="shared" si="53"/>
        <v>0.80424314721829371</v>
      </c>
      <c r="Y166" s="96">
        <f t="shared" si="47"/>
        <v>1.1646220879024145</v>
      </c>
      <c r="Z166" s="96">
        <f t="shared" si="51"/>
        <v>232.54230897767118</v>
      </c>
      <c r="AA166" s="97">
        <f t="shared" si="54"/>
        <v>174.01769102232893</v>
      </c>
      <c r="AB166" s="97">
        <f t="shared" si="55"/>
        <v>294.01769102232942</v>
      </c>
      <c r="AC166" s="97">
        <f t="shared" si="56"/>
        <v>2323.7835977446116</v>
      </c>
      <c r="AD166" s="96"/>
      <c r="AE166" s="105">
        <f t="shared" si="48"/>
        <v>22.542308977671183</v>
      </c>
    </row>
    <row r="167" spans="5:31" x14ac:dyDescent="0.35">
      <c r="E167" s="100">
        <f t="shared" si="39"/>
        <v>1.1145833333333512</v>
      </c>
      <c r="F167" s="5">
        <v>20</v>
      </c>
      <c r="G167" s="5">
        <f t="shared" si="52"/>
        <v>140</v>
      </c>
      <c r="H167" s="106">
        <f t="shared" si="52"/>
        <v>3.8194444444444443E-3</v>
      </c>
      <c r="I167" s="110">
        <f t="shared" si="49"/>
        <v>1.7687499999999998E-2</v>
      </c>
      <c r="J167" s="5">
        <v>1.05</v>
      </c>
      <c r="K167" s="5">
        <v>0</v>
      </c>
      <c r="L167" s="5">
        <v>0</v>
      </c>
      <c r="N167" s="5">
        <f t="shared" si="41"/>
        <v>140</v>
      </c>
      <c r="O167" s="97">
        <f t="shared" si="42"/>
        <v>181.81818181818184</v>
      </c>
      <c r="P167" s="5">
        <f t="shared" si="43"/>
        <v>1.01</v>
      </c>
      <c r="R167" s="96">
        <f t="shared" si="44"/>
        <v>4.0927669874023209</v>
      </c>
      <c r="S167" s="95">
        <f t="shared" si="45"/>
        <v>0.98133707234135914</v>
      </c>
      <c r="T167" s="96">
        <f t="shared" si="46"/>
        <v>60.099071555555561</v>
      </c>
      <c r="U167" s="97"/>
      <c r="V167" s="97">
        <f t="shared" si="50"/>
        <v>52.089761657847724</v>
      </c>
      <c r="W167" s="96">
        <f t="shared" si="40"/>
        <v>58.977446930762746</v>
      </c>
      <c r="X167" s="96">
        <f t="shared" si="53"/>
        <v>0.80338377436712605</v>
      </c>
      <c r="Y167" s="96">
        <f t="shared" si="47"/>
        <v>1.1547937625452898</v>
      </c>
      <c r="Z167" s="96">
        <f t="shared" si="51"/>
        <v>233.69710274021648</v>
      </c>
      <c r="AA167" s="97">
        <f t="shared" si="54"/>
        <v>172.86289725978364</v>
      </c>
      <c r="AB167" s="97">
        <f t="shared" si="55"/>
        <v>292.86289725978412</v>
      </c>
      <c r="AC167" s="97">
        <f t="shared" si="56"/>
        <v>2337.8795458638187</v>
      </c>
      <c r="AD167" s="96"/>
      <c r="AE167" s="105">
        <f t="shared" si="48"/>
        <v>23.697102740216479</v>
      </c>
    </row>
    <row r="168" spans="5:31" x14ac:dyDescent="0.35">
      <c r="E168" s="100">
        <f t="shared" si="39"/>
        <v>1.1152777777777958</v>
      </c>
      <c r="F168" s="5">
        <v>20</v>
      </c>
      <c r="G168" s="5">
        <f t="shared" si="52"/>
        <v>140</v>
      </c>
      <c r="H168" s="106">
        <f t="shared" si="52"/>
        <v>3.8194444444444443E-3</v>
      </c>
      <c r="I168" s="110">
        <f t="shared" si="49"/>
        <v>1.7687499999999998E-2</v>
      </c>
      <c r="J168" s="5">
        <v>1.05</v>
      </c>
      <c r="K168" s="5">
        <v>0</v>
      </c>
      <c r="L168" s="5">
        <v>0</v>
      </c>
      <c r="N168" s="5">
        <f t="shared" si="41"/>
        <v>140</v>
      </c>
      <c r="O168" s="97">
        <f t="shared" si="42"/>
        <v>181.81818181818184</v>
      </c>
      <c r="P168" s="5">
        <f t="shared" si="43"/>
        <v>1.01</v>
      </c>
      <c r="R168" s="96">
        <f t="shared" si="44"/>
        <v>4.0927669874023209</v>
      </c>
      <c r="S168" s="95">
        <f t="shared" si="45"/>
        <v>0.98114557251656609</v>
      </c>
      <c r="T168" s="96">
        <f t="shared" si="46"/>
        <v>60.099071555555561</v>
      </c>
      <c r="U168" s="97"/>
      <c r="V168" s="97">
        <f t="shared" si="50"/>
        <v>52.089761657847724</v>
      </c>
      <c r="W168" s="96">
        <f t="shared" si="40"/>
        <v>58.96593796908963</v>
      </c>
      <c r="X168" s="96">
        <f t="shared" si="53"/>
        <v>0.80253165382215463</v>
      </c>
      <c r="Y168" s="96">
        <f t="shared" si="47"/>
        <v>1.1450521096866182</v>
      </c>
      <c r="Z168" s="96">
        <f t="shared" si="51"/>
        <v>234.8421548499031</v>
      </c>
      <c r="AA168" s="97">
        <f t="shared" si="54"/>
        <v>171.71784515009702</v>
      </c>
      <c r="AB168" s="97">
        <f t="shared" si="55"/>
        <v>291.7178451500975</v>
      </c>
      <c r="AC168" s="97">
        <f t="shared" si="56"/>
        <v>2351.9727432751693</v>
      </c>
      <c r="AD168" s="96"/>
      <c r="AE168" s="105">
        <f t="shared" si="48"/>
        <v>24.842154849903096</v>
      </c>
    </row>
    <row r="169" spans="5:31" x14ac:dyDescent="0.35">
      <c r="E169" s="100">
        <f t="shared" si="39"/>
        <v>1.1159722222222404</v>
      </c>
      <c r="F169" s="5">
        <v>20</v>
      </c>
      <c r="G169" s="5">
        <f t="shared" si="52"/>
        <v>140</v>
      </c>
      <c r="H169" s="106">
        <f t="shared" si="52"/>
        <v>3.8194444444444443E-3</v>
      </c>
      <c r="I169" s="110">
        <f t="shared" si="49"/>
        <v>1.7687499999999998E-2</v>
      </c>
      <c r="J169" s="5">
        <v>1.05</v>
      </c>
      <c r="K169" s="5">
        <v>0</v>
      </c>
      <c r="L169" s="5">
        <v>0</v>
      </c>
      <c r="N169" s="5">
        <f t="shared" si="41"/>
        <v>140</v>
      </c>
      <c r="O169" s="97">
        <f t="shared" si="42"/>
        <v>181.81818181818184</v>
      </c>
      <c r="P169" s="5">
        <f t="shared" si="43"/>
        <v>1.01</v>
      </c>
      <c r="R169" s="96">
        <f t="shared" si="44"/>
        <v>4.0927669874023209</v>
      </c>
      <c r="S169" s="95">
        <f t="shared" si="45"/>
        <v>0.9809556881532312</v>
      </c>
      <c r="T169" s="96">
        <f t="shared" si="46"/>
        <v>60.099071555555561</v>
      </c>
      <c r="U169" s="97"/>
      <c r="V169" s="97">
        <f t="shared" si="50"/>
        <v>52.089761657847724</v>
      </c>
      <c r="W169" s="96">
        <f t="shared" si="40"/>
        <v>58.954526095150285</v>
      </c>
      <c r="X169" s="96">
        <f t="shared" si="53"/>
        <v>0.8016867216278758</v>
      </c>
      <c r="Y169" s="96">
        <f t="shared" si="47"/>
        <v>1.1353963037388048</v>
      </c>
      <c r="Z169" s="96">
        <f t="shared" si="51"/>
        <v>235.97755115364191</v>
      </c>
      <c r="AA169" s="97">
        <f t="shared" si="54"/>
        <v>170.5824488463582</v>
      </c>
      <c r="AB169" s="97">
        <f t="shared" si="55"/>
        <v>290.58244884635872</v>
      </c>
      <c r="AC169" s="97">
        <f t="shared" si="56"/>
        <v>2366.0632131831881</v>
      </c>
      <c r="AD169" s="96"/>
      <c r="AE169" s="105">
        <f t="shared" si="48"/>
        <v>25.977551153641912</v>
      </c>
    </row>
    <row r="170" spans="5:31" x14ac:dyDescent="0.35">
      <c r="E170" s="100">
        <f t="shared" si="39"/>
        <v>1.1166666666666849</v>
      </c>
      <c r="F170" s="5">
        <v>20</v>
      </c>
      <c r="G170" s="5">
        <f t="shared" si="52"/>
        <v>140</v>
      </c>
      <c r="H170" s="106">
        <f t="shared" si="52"/>
        <v>3.8194444444444443E-3</v>
      </c>
      <c r="I170" s="110">
        <f t="shared" si="49"/>
        <v>1.7687499999999998E-2</v>
      </c>
      <c r="J170" s="5">
        <v>1.05</v>
      </c>
      <c r="K170" s="5">
        <v>0</v>
      </c>
      <c r="L170" s="5">
        <v>0</v>
      </c>
      <c r="N170" s="5">
        <f t="shared" si="41"/>
        <v>140</v>
      </c>
      <c r="O170" s="97">
        <f t="shared" si="42"/>
        <v>181.81818181818184</v>
      </c>
      <c r="P170" s="5">
        <f t="shared" si="43"/>
        <v>1.01</v>
      </c>
      <c r="R170" s="96">
        <f t="shared" si="44"/>
        <v>4.0927669874023209</v>
      </c>
      <c r="S170" s="95">
        <f t="shared" si="45"/>
        <v>0.98076740501533366</v>
      </c>
      <c r="T170" s="96">
        <f t="shared" si="46"/>
        <v>60.099071555555561</v>
      </c>
      <c r="U170" s="97"/>
      <c r="V170" s="97">
        <f t="shared" si="50"/>
        <v>52.089761657847724</v>
      </c>
      <c r="W170" s="96">
        <f t="shared" si="40"/>
        <v>58.943210453373077</v>
      </c>
      <c r="X170" s="96">
        <f t="shared" si="53"/>
        <v>0.800848914437986</v>
      </c>
      <c r="Y170" s="96">
        <f t="shared" si="47"/>
        <v>1.1258255279758382</v>
      </c>
      <c r="Z170" s="96">
        <f t="shared" si="51"/>
        <v>237.10337668161776</v>
      </c>
      <c r="AA170" s="97">
        <f t="shared" si="54"/>
        <v>169.45662331838236</v>
      </c>
      <c r="AB170" s="97">
        <f t="shared" si="55"/>
        <v>289.45662331838287</v>
      </c>
      <c r="AC170" s="97">
        <f t="shared" si="56"/>
        <v>2380.1509785879139</v>
      </c>
      <c r="AD170" s="96"/>
      <c r="AE170" s="105">
        <f t="shared" si="48"/>
        <v>27.10337668161776</v>
      </c>
    </row>
    <row r="171" spans="5:31" x14ac:dyDescent="0.35">
      <c r="E171" s="100">
        <f t="shared" si="39"/>
        <v>1.1173611111111295</v>
      </c>
      <c r="F171" s="5">
        <v>20</v>
      </c>
      <c r="G171" s="5">
        <f t="shared" si="52"/>
        <v>140</v>
      </c>
      <c r="H171" s="106">
        <f t="shared" si="52"/>
        <v>3.8194444444444443E-3</v>
      </c>
      <c r="I171" s="110">
        <f t="shared" si="49"/>
        <v>1.7687499999999998E-2</v>
      </c>
      <c r="J171" s="5">
        <v>1.05</v>
      </c>
      <c r="K171" s="5">
        <v>0</v>
      </c>
      <c r="L171" s="5">
        <v>0</v>
      </c>
      <c r="N171" s="5">
        <f t="shared" si="41"/>
        <v>140</v>
      </c>
      <c r="O171" s="97">
        <f t="shared" si="42"/>
        <v>181.81818181818184</v>
      </c>
      <c r="P171" s="5">
        <f t="shared" si="43"/>
        <v>1.01</v>
      </c>
      <c r="R171" s="96">
        <f t="shared" si="44"/>
        <v>4.0927669874023209</v>
      </c>
      <c r="S171" s="95">
        <f t="shared" si="45"/>
        <v>0.98058070900228977</v>
      </c>
      <c r="T171" s="96">
        <f t="shared" si="46"/>
        <v>60.099071555555561</v>
      </c>
      <c r="U171" s="97"/>
      <c r="V171" s="97">
        <f t="shared" si="50"/>
        <v>52.089761657847724</v>
      </c>
      <c r="W171" s="96">
        <f t="shared" si="40"/>
        <v>58.931990196326019</v>
      </c>
      <c r="X171" s="96">
        <f t="shared" si="53"/>
        <v>0.80001816950884197</v>
      </c>
      <c r="Y171" s="96">
        <f t="shared" si="47"/>
        <v>1.1163389744222636</v>
      </c>
      <c r="Z171" s="96">
        <f t="shared" si="51"/>
        <v>238.21971565604002</v>
      </c>
      <c r="AA171" s="97">
        <f t="shared" si="54"/>
        <v>168.34028434396009</v>
      </c>
      <c r="AB171" s="97">
        <f t="shared" si="55"/>
        <v>288.3402843439606</v>
      </c>
      <c r="AC171" s="97">
        <f t="shared" si="56"/>
        <v>2394.2360622868446</v>
      </c>
      <c r="AD171" s="96"/>
      <c r="AE171" s="105">
        <f t="shared" si="48"/>
        <v>28.219715656040023</v>
      </c>
    </row>
    <row r="172" spans="5:31" x14ac:dyDescent="0.35">
      <c r="E172" s="100">
        <f t="shared" si="39"/>
        <v>1.118055555555574</v>
      </c>
      <c r="F172" s="5">
        <v>20</v>
      </c>
      <c r="G172" s="5">
        <f t="shared" si="52"/>
        <v>140</v>
      </c>
      <c r="H172" s="106">
        <f t="shared" si="52"/>
        <v>3.8194444444444443E-3</v>
      </c>
      <c r="I172" s="110">
        <f t="shared" si="49"/>
        <v>1.7687499999999998E-2</v>
      </c>
      <c r="J172" s="5">
        <v>1.05</v>
      </c>
      <c r="K172" s="5">
        <v>0</v>
      </c>
      <c r="L172" s="5">
        <v>0</v>
      </c>
      <c r="N172" s="5">
        <f t="shared" si="41"/>
        <v>140</v>
      </c>
      <c r="O172" s="97">
        <f t="shared" si="42"/>
        <v>181.81818181818184</v>
      </c>
      <c r="P172" s="5">
        <f t="shared" si="43"/>
        <v>1.01</v>
      </c>
      <c r="R172" s="96">
        <f t="shared" si="44"/>
        <v>4.0927669874023209</v>
      </c>
      <c r="S172" s="95">
        <f t="shared" si="45"/>
        <v>0.98039558614750388</v>
      </c>
      <c r="T172" s="96">
        <f t="shared" si="46"/>
        <v>60.099071555555561</v>
      </c>
      <c r="U172" s="97"/>
      <c r="V172" s="97">
        <f t="shared" si="50"/>
        <v>52.089761657847724</v>
      </c>
      <c r="W172" s="96">
        <f t="shared" si="40"/>
        <v>58.920864484629675</v>
      </c>
      <c r="X172" s="96">
        <f t="shared" si="53"/>
        <v>0.79919442469300506</v>
      </c>
      <c r="Y172" s="96">
        <f t="shared" si="47"/>
        <v>1.1069358437438177</v>
      </c>
      <c r="Z172" s="96">
        <f t="shared" si="51"/>
        <v>239.32665149978385</v>
      </c>
      <c r="AA172" s="97">
        <f t="shared" si="54"/>
        <v>167.23334850021627</v>
      </c>
      <c r="AB172" s="97">
        <f t="shared" si="55"/>
        <v>287.23334850021678</v>
      </c>
      <c r="AC172" s="97">
        <f t="shared" si="56"/>
        <v>2408.3184868768612</v>
      </c>
      <c r="AD172" s="96"/>
      <c r="AE172" s="105">
        <f t="shared" si="48"/>
        <v>29.32665149978385</v>
      </c>
    </row>
    <row r="173" spans="5:31" x14ac:dyDescent="0.35">
      <c r="E173" s="100">
        <f t="shared" si="39"/>
        <v>1.1187500000000186</v>
      </c>
      <c r="F173" s="5">
        <v>20</v>
      </c>
      <c r="G173" s="5">
        <f t="shared" si="52"/>
        <v>140</v>
      </c>
      <c r="H173" s="106">
        <f t="shared" si="52"/>
        <v>3.8194444444444443E-3</v>
      </c>
      <c r="I173" s="110">
        <f t="shared" si="49"/>
        <v>1.7687499999999998E-2</v>
      </c>
      <c r="J173" s="5">
        <v>1.05</v>
      </c>
      <c r="K173" s="5">
        <v>0</v>
      </c>
      <c r="L173" s="5">
        <v>0</v>
      </c>
      <c r="N173" s="5">
        <f t="shared" si="41"/>
        <v>140</v>
      </c>
      <c r="O173" s="97">
        <f t="shared" si="42"/>
        <v>181.81818181818184</v>
      </c>
      <c r="P173" s="5">
        <f t="shared" si="43"/>
        <v>1.01</v>
      </c>
      <c r="R173" s="96">
        <f t="shared" si="44"/>
        <v>4.0927669874023209</v>
      </c>
      <c r="S173" s="95">
        <f t="shared" si="45"/>
        <v>0.98021202261693297</v>
      </c>
      <c r="T173" s="96">
        <f t="shared" si="46"/>
        <v>60.099071555555561</v>
      </c>
      <c r="U173" s="97"/>
      <c r="V173" s="97">
        <f t="shared" si="50"/>
        <v>52.089761657847724</v>
      </c>
      <c r="W173" s="96">
        <f t="shared" si="40"/>
        <v>58.909832486870897</v>
      </c>
      <c r="X173" s="96">
        <f t="shared" si="53"/>
        <v>0.79837761843286348</v>
      </c>
      <c r="Y173" s="96">
        <f t="shared" si="47"/>
        <v>1.0976153451396389</v>
      </c>
      <c r="Z173" s="96">
        <f t="shared" si="51"/>
        <v>240.42426684492349</v>
      </c>
      <c r="AA173" s="97">
        <f t="shared" si="54"/>
        <v>166.13573315507662</v>
      </c>
      <c r="AB173" s="97">
        <f t="shared" si="55"/>
        <v>286.13573315507716</v>
      </c>
      <c r="AC173" s="97">
        <f t="shared" si="56"/>
        <v>2422.3982747561327</v>
      </c>
      <c r="AD173" s="96"/>
      <c r="AE173" s="105">
        <f t="shared" si="48"/>
        <v>0.42426684492349409</v>
      </c>
    </row>
    <row r="174" spans="5:31" x14ac:dyDescent="0.35">
      <c r="E174" s="100">
        <f t="shared" si="39"/>
        <v>1.1194444444444631</v>
      </c>
      <c r="F174" s="5">
        <v>20</v>
      </c>
      <c r="G174" s="5">
        <f t="shared" si="52"/>
        <v>140</v>
      </c>
      <c r="H174" s="106">
        <f t="shared" si="52"/>
        <v>3.8194444444444443E-3</v>
      </c>
      <c r="I174" s="110">
        <f t="shared" si="49"/>
        <v>1.7687499999999998E-2</v>
      </c>
      <c r="J174" s="5">
        <v>1.05</v>
      </c>
      <c r="K174" s="5">
        <v>0</v>
      </c>
      <c r="L174" s="5">
        <v>0</v>
      </c>
      <c r="N174" s="5">
        <f t="shared" si="41"/>
        <v>140</v>
      </c>
      <c r="O174" s="97">
        <f t="shared" si="42"/>
        <v>181.81818181818184</v>
      </c>
      <c r="P174" s="5">
        <f t="shared" si="43"/>
        <v>1.01</v>
      </c>
      <c r="R174" s="96">
        <f t="shared" si="44"/>
        <v>4.0927669874023209</v>
      </c>
      <c r="S174" s="95">
        <f t="shared" si="45"/>
        <v>0.98003000470767343</v>
      </c>
      <c r="T174" s="96">
        <f t="shared" si="46"/>
        <v>60.099071555555561</v>
      </c>
      <c r="U174" s="97"/>
      <c r="V174" s="97">
        <f t="shared" si="50"/>
        <v>52.089761657847724</v>
      </c>
      <c r="W174" s="96">
        <f t="shared" si="40"/>
        <v>58.898893379517922</v>
      </c>
      <c r="X174" s="96">
        <f t="shared" si="53"/>
        <v>0.79756768975433667</v>
      </c>
      <c r="Y174" s="96">
        <f t="shared" si="47"/>
        <v>1.088376696236091</v>
      </c>
      <c r="Z174" s="96">
        <f t="shared" si="51"/>
        <v>241.51264354115958</v>
      </c>
      <c r="AA174" s="97">
        <f t="shared" si="54"/>
        <v>165.04735645884054</v>
      </c>
      <c r="AB174" s="97">
        <f t="shared" si="55"/>
        <v>285.04735645884108</v>
      </c>
      <c r="AC174" s="97">
        <f t="shared" si="56"/>
        <v>2436.4754481259984</v>
      </c>
      <c r="AD174" s="96"/>
      <c r="AE174" s="105">
        <f t="shared" si="48"/>
        <v>1.5126435411595764</v>
      </c>
    </row>
    <row r="175" spans="5:31" x14ac:dyDescent="0.35">
      <c r="E175" s="100">
        <f t="shared" si="39"/>
        <v>1.1201388888889077</v>
      </c>
      <c r="F175" s="5">
        <v>20</v>
      </c>
      <c r="G175" s="5">
        <f t="shared" si="52"/>
        <v>140</v>
      </c>
      <c r="H175" s="106">
        <f t="shared" si="52"/>
        <v>3.8194444444444443E-3</v>
      </c>
      <c r="I175" s="110">
        <f t="shared" si="49"/>
        <v>1.7687499999999998E-2</v>
      </c>
      <c r="J175" s="5">
        <v>1.05</v>
      </c>
      <c r="K175" s="5">
        <v>0</v>
      </c>
      <c r="L175" s="5">
        <v>0</v>
      </c>
      <c r="N175" s="5">
        <f t="shared" si="41"/>
        <v>140</v>
      </c>
      <c r="O175" s="97">
        <f t="shared" si="42"/>
        <v>181.81818181818184</v>
      </c>
      <c r="P175" s="5">
        <f t="shared" si="43"/>
        <v>1.01</v>
      </c>
      <c r="R175" s="96">
        <f t="shared" si="44"/>
        <v>4.0927669874023209</v>
      </c>
      <c r="S175" s="95">
        <f t="shared" si="45"/>
        <v>0.97984951884656279</v>
      </c>
      <c r="T175" s="96">
        <f t="shared" si="46"/>
        <v>60.099071555555561</v>
      </c>
      <c r="U175" s="97"/>
      <c r="V175" s="97">
        <f t="shared" si="50"/>
        <v>52.089761657847724</v>
      </c>
      <c r="W175" s="96">
        <f t="shared" si="40"/>
        <v>58.888046346836262</v>
      </c>
      <c r="X175" s="96">
        <f t="shared" si="53"/>
        <v>0.79676457826065594</v>
      </c>
      <c r="Y175" s="96">
        <f t="shared" si="47"/>
        <v>1.0792191229821162</v>
      </c>
      <c r="Z175" s="96">
        <f t="shared" si="51"/>
        <v>242.5918626641417</v>
      </c>
      <c r="AA175" s="97">
        <f t="shared" si="54"/>
        <v>163.96813733585842</v>
      </c>
      <c r="AB175" s="97">
        <f t="shared" si="55"/>
        <v>283.96813733585896</v>
      </c>
      <c r="AC175" s="97">
        <f t="shared" si="56"/>
        <v>2450.5500289928332</v>
      </c>
      <c r="AD175" s="96"/>
      <c r="AE175" s="105">
        <f t="shared" si="48"/>
        <v>2.5918626641417006</v>
      </c>
    </row>
    <row r="176" spans="5:31" x14ac:dyDescent="0.35">
      <c r="E176" s="100">
        <f t="shared" si="39"/>
        <v>1.1208333333333522</v>
      </c>
      <c r="F176" s="5">
        <v>20</v>
      </c>
      <c r="G176" s="5">
        <f t="shared" si="52"/>
        <v>140</v>
      </c>
      <c r="H176" s="106">
        <f t="shared" si="52"/>
        <v>3.8194444444444443E-3</v>
      </c>
      <c r="I176" s="110">
        <f t="shared" si="49"/>
        <v>1.7687499999999998E-2</v>
      </c>
      <c r="J176" s="5">
        <v>1.05</v>
      </c>
      <c r="K176" s="5">
        <v>0</v>
      </c>
      <c r="L176" s="5">
        <v>0</v>
      </c>
      <c r="N176" s="5">
        <f t="shared" si="41"/>
        <v>140</v>
      </c>
      <c r="O176" s="97">
        <f t="shared" si="42"/>
        <v>181.81818181818184</v>
      </c>
      <c r="P176" s="5">
        <f t="shared" si="43"/>
        <v>1.01</v>
      </c>
      <c r="R176" s="96">
        <f t="shared" si="44"/>
        <v>4.0927669874023209</v>
      </c>
      <c r="S176" s="95">
        <f t="shared" si="45"/>
        <v>0.97967055158879979</v>
      </c>
      <c r="T176" s="96">
        <f t="shared" si="46"/>
        <v>60.099071555555561</v>
      </c>
      <c r="U176" s="97"/>
      <c r="V176" s="97">
        <f t="shared" si="50"/>
        <v>52.089761657847724</v>
      </c>
      <c r="W176" s="96">
        <f t="shared" si="40"/>
        <v>58.877290580805862</v>
      </c>
      <c r="X176" s="96">
        <f t="shared" si="53"/>
        <v>0.79596822412622403</v>
      </c>
      <c r="Y176" s="96">
        <f t="shared" si="47"/>
        <v>1.0701418595461363</v>
      </c>
      <c r="Z176" s="96">
        <f t="shared" si="51"/>
        <v>243.66200452368784</v>
      </c>
      <c r="AA176" s="97">
        <f t="shared" si="54"/>
        <v>162.89799547631227</v>
      </c>
      <c r="AB176" s="97">
        <f t="shared" si="55"/>
        <v>282.89799547631281</v>
      </c>
      <c r="AC176" s="97">
        <f t="shared" si="56"/>
        <v>2464.6220391698898</v>
      </c>
      <c r="AD176" s="96"/>
      <c r="AE176" s="105">
        <f t="shared" si="48"/>
        <v>3.6620045236878411</v>
      </c>
    </row>
    <row r="177" spans="5:31" x14ac:dyDescent="0.35">
      <c r="E177" s="100">
        <f t="shared" si="39"/>
        <v>1.1215277777777968</v>
      </c>
      <c r="F177" s="5">
        <v>20</v>
      </c>
      <c r="G177" s="5">
        <f t="shared" si="52"/>
        <v>140</v>
      </c>
      <c r="H177" s="106">
        <f t="shared" si="52"/>
        <v>3.8194444444444443E-3</v>
      </c>
      <c r="I177" s="110">
        <f t="shared" si="49"/>
        <v>1.7687499999999998E-2</v>
      </c>
      <c r="J177" s="5">
        <v>1.05</v>
      </c>
      <c r="K177" s="5">
        <v>0</v>
      </c>
      <c r="L177" s="5">
        <v>0</v>
      </c>
      <c r="N177" s="5">
        <f t="shared" si="41"/>
        <v>140</v>
      </c>
      <c r="O177" s="97">
        <f t="shared" si="42"/>
        <v>181.81818181818184</v>
      </c>
      <c r="P177" s="5">
        <f t="shared" si="43"/>
        <v>1.01</v>
      </c>
      <c r="R177" s="96">
        <f t="shared" si="44"/>
        <v>4.0927669874023209</v>
      </c>
      <c r="S177" s="95">
        <f t="shared" si="45"/>
        <v>0.97949308961658144</v>
      </c>
      <c r="T177" s="96">
        <f t="shared" si="46"/>
        <v>60.099071555555561</v>
      </c>
      <c r="U177" s="97"/>
      <c r="V177" s="97">
        <f t="shared" si="50"/>
        <v>52.089761657847724</v>
      </c>
      <c r="W177" s="96">
        <f t="shared" si="40"/>
        <v>58.86662528103912</v>
      </c>
      <c r="X177" s="96">
        <f t="shared" si="53"/>
        <v>0.79517856809054943</v>
      </c>
      <c r="Y177" s="96">
        <f t="shared" si="47"/>
        <v>1.0611441482144399</v>
      </c>
      <c r="Z177" s="96">
        <f t="shared" si="51"/>
        <v>244.72314867190229</v>
      </c>
      <c r="AA177" s="97">
        <f t="shared" si="54"/>
        <v>161.83685132809782</v>
      </c>
      <c r="AB177" s="97">
        <f t="shared" si="55"/>
        <v>281.83685132809836</v>
      </c>
      <c r="AC177" s="97">
        <f t="shared" si="56"/>
        <v>2478.6915002791247</v>
      </c>
      <c r="AD177" s="96"/>
      <c r="AE177" s="105">
        <f t="shared" si="48"/>
        <v>4.7231486719022939</v>
      </c>
    </row>
    <row r="178" spans="5:31" x14ac:dyDescent="0.35">
      <c r="E178" s="100">
        <f t="shared" si="39"/>
        <v>1.1222222222222413</v>
      </c>
      <c r="F178" s="5">
        <v>20</v>
      </c>
      <c r="G178" s="5">
        <f t="shared" si="52"/>
        <v>140</v>
      </c>
      <c r="H178" s="106">
        <f t="shared" si="52"/>
        <v>3.8194444444444443E-3</v>
      </c>
      <c r="I178" s="110">
        <f t="shared" si="49"/>
        <v>1.7687499999999998E-2</v>
      </c>
      <c r="J178" s="5">
        <v>1.05</v>
      </c>
      <c r="K178" s="5">
        <v>0</v>
      </c>
      <c r="L178" s="5">
        <v>0</v>
      </c>
      <c r="N178" s="5">
        <f t="shared" si="41"/>
        <v>140</v>
      </c>
      <c r="O178" s="97">
        <f t="shared" si="42"/>
        <v>181.81818181818184</v>
      </c>
      <c r="P178" s="5">
        <f t="shared" si="43"/>
        <v>1.01</v>
      </c>
      <c r="R178" s="96">
        <f t="shared" si="44"/>
        <v>4.0927669874023209</v>
      </c>
      <c r="S178" s="95">
        <f t="shared" si="45"/>
        <v>0.97931711973775626</v>
      </c>
      <c r="T178" s="96">
        <f t="shared" si="46"/>
        <v>60.099071555555561</v>
      </c>
      <c r="U178" s="97"/>
      <c r="V178" s="97">
        <f t="shared" si="50"/>
        <v>52.089761657847724</v>
      </c>
      <c r="W178" s="96">
        <f t="shared" si="40"/>
        <v>58.856049654699987</v>
      </c>
      <c r="X178" s="96">
        <f t="shared" si="53"/>
        <v>0.79439555145225671</v>
      </c>
      <c r="Y178" s="96">
        <f t="shared" si="47"/>
        <v>1.0522252392910627</v>
      </c>
      <c r="Z178" s="96">
        <f t="shared" si="51"/>
        <v>245.77537391119336</v>
      </c>
      <c r="AA178" s="97">
        <f t="shared" si="54"/>
        <v>160.78462608880676</v>
      </c>
      <c r="AB178" s="97">
        <f t="shared" si="55"/>
        <v>280.78462608880727</v>
      </c>
      <c r="AC178" s="97">
        <f t="shared" si="56"/>
        <v>2492.7584337530016</v>
      </c>
      <c r="AD178" s="96"/>
      <c r="AE178" s="105">
        <f t="shared" si="48"/>
        <v>5.7753739111933555</v>
      </c>
    </row>
    <row r="179" spans="5:31" x14ac:dyDescent="0.35">
      <c r="E179" s="100">
        <f t="shared" si="39"/>
        <v>1.1229166666666859</v>
      </c>
      <c r="F179" s="5">
        <v>20</v>
      </c>
      <c r="G179" s="5">
        <f t="shared" si="52"/>
        <v>140</v>
      </c>
      <c r="H179" s="106">
        <f t="shared" si="52"/>
        <v>3.8194444444444443E-3</v>
      </c>
      <c r="I179" s="110">
        <f t="shared" si="49"/>
        <v>1.7687499999999998E-2</v>
      </c>
      <c r="J179" s="5">
        <v>1.05</v>
      </c>
      <c r="K179" s="5">
        <v>0</v>
      </c>
      <c r="L179" s="5">
        <v>0</v>
      </c>
      <c r="N179" s="5">
        <f t="shared" si="41"/>
        <v>140</v>
      </c>
      <c r="O179" s="97">
        <f t="shared" si="42"/>
        <v>181.81818181818184</v>
      </c>
      <c r="P179" s="5">
        <f t="shared" si="43"/>
        <v>1.01</v>
      </c>
      <c r="R179" s="96">
        <f t="shared" si="44"/>
        <v>4.0927669874023209</v>
      </c>
      <c r="S179" s="95">
        <f t="shared" si="45"/>
        <v>0.9791426288844951</v>
      </c>
      <c r="T179" s="96">
        <f t="shared" si="46"/>
        <v>60.099071555555561</v>
      </c>
      <c r="U179" s="97"/>
      <c r="V179" s="97">
        <f t="shared" si="50"/>
        <v>52.089761657847724</v>
      </c>
      <c r="W179" s="96">
        <f t="shared" si="40"/>
        <v>58.845562916424058</v>
      </c>
      <c r="X179" s="96">
        <f t="shared" si="53"/>
        <v>0.79361911606316937</v>
      </c>
      <c r="Y179" s="96">
        <f t="shared" si="47"/>
        <v>1.0433843909990987</v>
      </c>
      <c r="Z179" s="96">
        <f t="shared" si="51"/>
        <v>246.81875830219246</v>
      </c>
      <c r="AA179" s="97">
        <f t="shared" si="54"/>
        <v>159.74124169780765</v>
      </c>
      <c r="AB179" s="97">
        <f t="shared" si="55"/>
        <v>279.74124169780816</v>
      </c>
      <c r="AC179" s="97">
        <f t="shared" si="56"/>
        <v>2506.822860836277</v>
      </c>
      <c r="AD179" s="96"/>
      <c r="AE179" s="105">
        <f t="shared" si="48"/>
        <v>6.8187583021924638</v>
      </c>
    </row>
    <row r="180" spans="5:31" x14ac:dyDescent="0.35">
      <c r="E180" s="100">
        <f t="shared" si="39"/>
        <v>1.1236111111111304</v>
      </c>
      <c r="F180" s="5">
        <v>20</v>
      </c>
      <c r="G180" s="5">
        <f t="shared" si="52"/>
        <v>140</v>
      </c>
      <c r="H180" s="106">
        <f t="shared" si="52"/>
        <v>3.8194444444444443E-3</v>
      </c>
      <c r="I180" s="110">
        <f t="shared" si="49"/>
        <v>1.7687499999999998E-2</v>
      </c>
      <c r="J180" s="5">
        <v>1.05</v>
      </c>
      <c r="K180" s="5">
        <v>0</v>
      </c>
      <c r="L180" s="5">
        <v>0</v>
      </c>
      <c r="N180" s="5">
        <f t="shared" si="41"/>
        <v>140</v>
      </c>
      <c r="O180" s="97">
        <f t="shared" si="42"/>
        <v>181.81818181818184</v>
      </c>
      <c r="P180" s="5">
        <f t="shared" si="43"/>
        <v>1.01</v>
      </c>
      <c r="R180" s="96">
        <f t="shared" si="44"/>
        <v>4.0927669874023209</v>
      </c>
      <c r="S180" s="95">
        <f t="shared" si="45"/>
        <v>0.97896960411197842</v>
      </c>
      <c r="T180" s="96">
        <f t="shared" si="46"/>
        <v>60.099071555555561</v>
      </c>
      <c r="U180" s="97"/>
      <c r="V180" s="97">
        <f t="shared" si="50"/>
        <v>52.089761657847724</v>
      </c>
      <c r="W180" s="96">
        <f t="shared" si="40"/>
        <v>58.835164288239689</v>
      </c>
      <c r="X180" s="96">
        <f t="shared" si="53"/>
        <v>0.79284920432246753</v>
      </c>
      <c r="Y180" s="96">
        <f t="shared" si="47"/>
        <v>1.0346208693834686</v>
      </c>
      <c r="Z180" s="96">
        <f t="shared" si="51"/>
        <v>247.85337917157594</v>
      </c>
      <c r="AA180" s="97">
        <f t="shared" si="54"/>
        <v>158.70662082842418</v>
      </c>
      <c r="AB180" s="97">
        <f t="shared" si="55"/>
        <v>278.70662082842472</v>
      </c>
      <c r="AC180" s="97">
        <f t="shared" si="56"/>
        <v>2520.8848025877683</v>
      </c>
      <c r="AD180" s="96"/>
      <c r="AE180" s="105">
        <f t="shared" si="48"/>
        <v>7.8533791715759378</v>
      </c>
    </row>
    <row r="181" spans="5:31" x14ac:dyDescent="0.35">
      <c r="E181" s="100">
        <f t="shared" si="39"/>
        <v>1.124305555555575</v>
      </c>
      <c r="F181" s="5">
        <v>20</v>
      </c>
      <c r="G181" s="5">
        <f t="shared" si="52"/>
        <v>140</v>
      </c>
      <c r="H181" s="106">
        <f t="shared" si="52"/>
        <v>3.8194444444444443E-3</v>
      </c>
      <c r="I181" s="110">
        <f t="shared" si="49"/>
        <v>1.7687499999999998E-2</v>
      </c>
      <c r="J181" s="5">
        <v>1.05</v>
      </c>
      <c r="K181" s="5">
        <v>0</v>
      </c>
      <c r="L181" s="5">
        <v>0</v>
      </c>
      <c r="N181" s="5">
        <f t="shared" si="41"/>
        <v>140</v>
      </c>
      <c r="O181" s="97">
        <f t="shared" si="42"/>
        <v>181.81818181818184</v>
      </c>
      <c r="P181" s="5">
        <f t="shared" si="43"/>
        <v>1.01</v>
      </c>
      <c r="R181" s="96">
        <f t="shared" si="44"/>
        <v>4.0927669874023209</v>
      </c>
      <c r="S181" s="95">
        <f t="shared" si="45"/>
        <v>0.97879803259709819</v>
      </c>
      <c r="T181" s="96">
        <f t="shared" si="46"/>
        <v>60.099071555555561</v>
      </c>
      <c r="U181" s="97"/>
      <c r="V181" s="97">
        <f t="shared" si="50"/>
        <v>52.089761657847724</v>
      </c>
      <c r="W181" s="96">
        <f t="shared" si="40"/>
        <v>58.824852999490005</v>
      </c>
      <c r="X181" s="96">
        <f t="shared" si="53"/>
        <v>0.79208575917091539</v>
      </c>
      <c r="Y181" s="96">
        <f t="shared" si="47"/>
        <v>1.0259339482150642</v>
      </c>
      <c r="Z181" s="96">
        <f t="shared" si="51"/>
        <v>248.87931311979099</v>
      </c>
      <c r="AA181" s="97">
        <f t="shared" si="54"/>
        <v>157.68068688020912</v>
      </c>
      <c r="AB181" s="97">
        <f t="shared" si="55"/>
        <v>277.68068688020963</v>
      </c>
      <c r="AC181" s="97">
        <f t="shared" si="56"/>
        <v>2534.9442798821015</v>
      </c>
      <c r="AD181" s="96"/>
      <c r="AE181" s="105">
        <f t="shared" si="48"/>
        <v>8.8793131197909929</v>
      </c>
    </row>
    <row r="182" spans="5:31" x14ac:dyDescent="0.35">
      <c r="E182" s="100">
        <f t="shared" si="39"/>
        <v>1.1250000000000195</v>
      </c>
      <c r="F182" s="5">
        <v>20</v>
      </c>
      <c r="G182" s="5">
        <f t="shared" si="52"/>
        <v>140</v>
      </c>
      <c r="H182" s="106">
        <f t="shared" si="52"/>
        <v>3.8194444444444443E-3</v>
      </c>
      <c r="I182" s="110">
        <f t="shared" si="49"/>
        <v>1.7687499999999998E-2</v>
      </c>
      <c r="J182" s="5">
        <v>1.05</v>
      </c>
      <c r="K182" s="5">
        <v>0</v>
      </c>
      <c r="L182" s="5">
        <v>0</v>
      </c>
      <c r="N182" s="5">
        <f t="shared" si="41"/>
        <v>140</v>
      </c>
      <c r="O182" s="97">
        <f t="shared" si="42"/>
        <v>181.81818181818184</v>
      </c>
      <c r="P182" s="5">
        <f t="shared" si="43"/>
        <v>1.0149999999999999</v>
      </c>
      <c r="R182" s="96">
        <f t="shared" si="44"/>
        <v>4.1130282101122333</v>
      </c>
      <c r="S182" s="95">
        <f t="shared" si="45"/>
        <v>0.97862790163717728</v>
      </c>
      <c r="T182" s="96">
        <f t="shared" si="46"/>
        <v>60.099071555555561</v>
      </c>
      <c r="U182" s="97"/>
      <c r="V182" s="97">
        <f t="shared" si="50"/>
        <v>52.347631765064797</v>
      </c>
      <c r="W182" s="96">
        <f t="shared" si="40"/>
        <v>58.814628286755905</v>
      </c>
      <c r="X182" s="96">
        <f t="shared" si="53"/>
        <v>0.79132872408516053</v>
      </c>
      <c r="Y182" s="96">
        <f t="shared" si="47"/>
        <v>1.0173229088962898</v>
      </c>
      <c r="Z182" s="96">
        <f t="shared" si="51"/>
        <v>249.89663602868728</v>
      </c>
      <c r="AA182" s="97">
        <f t="shared" si="54"/>
        <v>156.66336397131283</v>
      </c>
      <c r="AB182" s="97">
        <f t="shared" si="55"/>
        <v>276.66336397131334</v>
      </c>
      <c r="AC182" s="97">
        <f t="shared" si="56"/>
        <v>2549.0013134114406</v>
      </c>
      <c r="AD182" s="96"/>
      <c r="AE182" s="105">
        <f t="shared" si="48"/>
        <v>9.8966360286872828</v>
      </c>
    </row>
    <row r="183" spans="5:31" x14ac:dyDescent="0.35">
      <c r="E183" s="100">
        <f t="shared" ref="E183:E246" si="57">E182+TIME(0,1,0)</f>
        <v>1.1256944444444641</v>
      </c>
      <c r="F183" s="5">
        <v>20</v>
      </c>
      <c r="G183" s="5">
        <f t="shared" si="52"/>
        <v>140</v>
      </c>
      <c r="H183" s="106">
        <f t="shared" si="52"/>
        <v>3.8194444444444443E-3</v>
      </c>
      <c r="I183" s="110">
        <f t="shared" si="49"/>
        <v>1.7687499999999998E-2</v>
      </c>
      <c r="J183" s="5">
        <v>1.05</v>
      </c>
      <c r="K183" s="5">
        <v>0</v>
      </c>
      <c r="L183" s="5">
        <v>0</v>
      </c>
      <c r="N183" s="5">
        <f t="shared" si="41"/>
        <v>140</v>
      </c>
      <c r="O183" s="97">
        <f t="shared" si="42"/>
        <v>181.81818181818184</v>
      </c>
      <c r="P183" s="5">
        <f t="shared" si="43"/>
        <v>1.0149999999999999</v>
      </c>
      <c r="R183" s="96">
        <f t="shared" si="44"/>
        <v>4.1130282101122333</v>
      </c>
      <c r="S183" s="95">
        <f t="shared" si="45"/>
        <v>0.97845919864870401</v>
      </c>
      <c r="T183" s="96">
        <f t="shared" si="46"/>
        <v>60.099071555555561</v>
      </c>
      <c r="U183" s="97"/>
      <c r="V183" s="97">
        <f t="shared" si="50"/>
        <v>52.347631765064797</v>
      </c>
      <c r="W183" s="96">
        <f t="shared" ref="W183:W246" si="58">S183*T183</f>
        <v>58.804489393780017</v>
      </c>
      <c r="X183" s="96">
        <f t="shared" si="53"/>
        <v>0.79057804307210244</v>
      </c>
      <c r="Y183" s="96">
        <f t="shared" si="47"/>
        <v>1.0087870403679546</v>
      </c>
      <c r="Z183" s="96">
        <f t="shared" si="51"/>
        <v>250.90542306905525</v>
      </c>
      <c r="AA183" s="97">
        <f t="shared" si="54"/>
        <v>155.65457693094487</v>
      </c>
      <c r="AB183" s="97">
        <f t="shared" si="55"/>
        <v>275.65457693094538</v>
      </c>
      <c r="AC183" s="97">
        <f t="shared" si="56"/>
        <v>2563.0559236872004</v>
      </c>
      <c r="AD183" s="96"/>
      <c r="AE183" s="105">
        <f t="shared" si="48"/>
        <v>10.905423069055246</v>
      </c>
    </row>
    <row r="184" spans="5:31" x14ac:dyDescent="0.35">
      <c r="E184" s="100">
        <f t="shared" si="57"/>
        <v>1.1263888888889086</v>
      </c>
      <c r="F184" s="5">
        <v>20</v>
      </c>
      <c r="G184" s="5">
        <f t="shared" si="52"/>
        <v>140</v>
      </c>
      <c r="H184" s="106">
        <f t="shared" si="52"/>
        <v>3.8194444444444443E-3</v>
      </c>
      <c r="I184" s="110">
        <f t="shared" si="49"/>
        <v>1.7687499999999998E-2</v>
      </c>
      <c r="J184" s="5">
        <v>1.05</v>
      </c>
      <c r="K184" s="5">
        <v>0</v>
      </c>
      <c r="L184" s="5">
        <v>0</v>
      </c>
      <c r="N184" s="5">
        <f t="shared" si="41"/>
        <v>140</v>
      </c>
      <c r="O184" s="97">
        <f t="shared" si="42"/>
        <v>181.81818181818184</v>
      </c>
      <c r="P184" s="5">
        <f t="shared" si="43"/>
        <v>1.0149999999999999</v>
      </c>
      <c r="R184" s="96">
        <f t="shared" si="44"/>
        <v>4.1130282101122333</v>
      </c>
      <c r="S184" s="95">
        <f t="shared" si="45"/>
        <v>0.97829191116608194</v>
      </c>
      <c r="T184" s="96">
        <f t="shared" si="46"/>
        <v>60.099071555555561</v>
      </c>
      <c r="U184" s="97"/>
      <c r="V184" s="97">
        <f t="shared" si="50"/>
        <v>52.347631765064797</v>
      </c>
      <c r="W184" s="96">
        <f t="shared" si="58"/>
        <v>58.79443557139156</v>
      </c>
      <c r="X184" s="96">
        <f t="shared" si="53"/>
        <v>0.78983366066333027</v>
      </c>
      <c r="Y184" s="96">
        <f t="shared" si="47"/>
        <v>1.0003256390175053</v>
      </c>
      <c r="Z184" s="96">
        <f t="shared" si="51"/>
        <v>251.90574870807276</v>
      </c>
      <c r="AA184" s="97">
        <f t="shared" si="54"/>
        <v>154.65425129192735</v>
      </c>
      <c r="AB184" s="97">
        <f t="shared" si="55"/>
        <v>274.65425129192789</v>
      </c>
      <c r="AC184" s="97">
        <f t="shared" si="56"/>
        <v>2577.1081310417394</v>
      </c>
      <c r="AD184" s="96"/>
      <c r="AE184" s="105">
        <f t="shared" si="48"/>
        <v>11.905748708072764</v>
      </c>
    </row>
    <row r="185" spans="5:31" x14ac:dyDescent="0.35">
      <c r="E185" s="100">
        <f t="shared" si="57"/>
        <v>1.1270833333333532</v>
      </c>
      <c r="F185" s="5">
        <v>20</v>
      </c>
      <c r="G185" s="5">
        <f t="shared" si="52"/>
        <v>140</v>
      </c>
      <c r="H185" s="106">
        <f t="shared" si="52"/>
        <v>3.8194444444444443E-3</v>
      </c>
      <c r="I185" s="110">
        <f t="shared" si="49"/>
        <v>1.7687499999999998E-2</v>
      </c>
      <c r="J185" s="5">
        <v>1.05</v>
      </c>
      <c r="K185" s="5">
        <v>0</v>
      </c>
      <c r="L185" s="5">
        <v>0</v>
      </c>
      <c r="N185" s="5">
        <f t="shared" si="41"/>
        <v>140</v>
      </c>
      <c r="O185" s="97">
        <f t="shared" si="42"/>
        <v>181.81818181818184</v>
      </c>
      <c r="P185" s="5">
        <f t="shared" si="43"/>
        <v>1.0149999999999999</v>
      </c>
      <c r="R185" s="96">
        <f t="shared" si="44"/>
        <v>4.1130282101122333</v>
      </c>
      <c r="S185" s="95">
        <f t="shared" si="45"/>
        <v>0.9781260268403944</v>
      </c>
      <c r="T185" s="96">
        <f t="shared" si="46"/>
        <v>60.099071555555561</v>
      </c>
      <c r="U185" s="97"/>
      <c r="V185" s="97">
        <f t="shared" si="50"/>
        <v>52.347631765064797</v>
      </c>
      <c r="W185" s="96">
        <f t="shared" si="58"/>
        <v>58.784466077432121</v>
      </c>
      <c r="X185" s="96">
        <f t="shared" si="53"/>
        <v>0.78909552190962795</v>
      </c>
      <c r="Y185" s="96">
        <f t="shared" si="47"/>
        <v>0.99193800858856762</v>
      </c>
      <c r="Z185" s="96">
        <f t="shared" si="51"/>
        <v>252.89768671666133</v>
      </c>
      <c r="AA185" s="97">
        <f t="shared" si="54"/>
        <v>153.66231328333879</v>
      </c>
      <c r="AB185" s="97">
        <f t="shared" si="55"/>
        <v>273.6623132833393</v>
      </c>
      <c r="AC185" s="97">
        <f t="shared" si="56"/>
        <v>2591.1579556300358</v>
      </c>
      <c r="AD185" s="96"/>
      <c r="AE185" s="105">
        <f t="shared" si="48"/>
        <v>12.897686716661326</v>
      </c>
    </row>
    <row r="186" spans="5:31" x14ac:dyDescent="0.35">
      <c r="E186" s="100">
        <f t="shared" si="57"/>
        <v>1.1277777777777978</v>
      </c>
      <c r="F186" s="5">
        <v>20</v>
      </c>
      <c r="G186" s="5">
        <f t="shared" si="52"/>
        <v>140</v>
      </c>
      <c r="H186" s="106">
        <f t="shared" si="52"/>
        <v>3.8194444444444443E-3</v>
      </c>
      <c r="I186" s="110">
        <f t="shared" si="49"/>
        <v>1.7687499999999998E-2</v>
      </c>
      <c r="J186" s="5">
        <v>1.05</v>
      </c>
      <c r="K186" s="5">
        <v>0</v>
      </c>
      <c r="L186" s="5">
        <v>0</v>
      </c>
      <c r="N186" s="5">
        <f t="shared" si="41"/>
        <v>140</v>
      </c>
      <c r="O186" s="97">
        <f t="shared" si="42"/>
        <v>181.81818181818184</v>
      </c>
      <c r="P186" s="5">
        <f t="shared" si="43"/>
        <v>1.0149999999999999</v>
      </c>
      <c r="R186" s="96">
        <f t="shared" si="44"/>
        <v>4.1130282101122333</v>
      </c>
      <c r="S186" s="95">
        <f t="shared" si="45"/>
        <v>0.97796153343818581</v>
      </c>
      <c r="T186" s="96">
        <f t="shared" si="46"/>
        <v>60.099071555555561</v>
      </c>
      <c r="U186" s="97"/>
      <c r="V186" s="97">
        <f t="shared" si="50"/>
        <v>52.347631765064797</v>
      </c>
      <c r="W186" s="96">
        <f t="shared" si="58"/>
        <v>58.77458017668237</v>
      </c>
      <c r="X186" s="96">
        <f t="shared" si="53"/>
        <v>0.78836357237554544</v>
      </c>
      <c r="Y186" s="96">
        <f t="shared" si="47"/>
        <v>0.98362346009177526</v>
      </c>
      <c r="Z186" s="96">
        <f t="shared" si="51"/>
        <v>253.88131017675309</v>
      </c>
      <c r="AA186" s="97">
        <f t="shared" si="54"/>
        <v>152.67868982324703</v>
      </c>
      <c r="AB186" s="97">
        <f t="shared" si="55"/>
        <v>272.67868982324751</v>
      </c>
      <c r="AC186" s="97">
        <f t="shared" si="56"/>
        <v>2605.2054174313462</v>
      </c>
      <c r="AD186" s="96"/>
      <c r="AE186" s="105">
        <f t="shared" si="48"/>
        <v>13.88131017675309</v>
      </c>
    </row>
    <row r="187" spans="5:31" x14ac:dyDescent="0.35">
      <c r="E187" s="100">
        <f t="shared" si="57"/>
        <v>1.1284722222222423</v>
      </c>
      <c r="F187" s="5">
        <v>20</v>
      </c>
      <c r="G187" s="5">
        <f t="shared" si="52"/>
        <v>140</v>
      </c>
      <c r="H187" s="106">
        <f t="shared" si="52"/>
        <v>3.8194444444444443E-3</v>
      </c>
      <c r="I187" s="110">
        <f t="shared" si="49"/>
        <v>1.7687499999999998E-2</v>
      </c>
      <c r="J187" s="5">
        <v>1.05</v>
      </c>
      <c r="K187" s="5">
        <v>0</v>
      </c>
      <c r="L187" s="5">
        <v>0</v>
      </c>
      <c r="N187" s="5">
        <f t="shared" si="41"/>
        <v>140</v>
      </c>
      <c r="O187" s="97">
        <f t="shared" si="42"/>
        <v>181.81818181818184</v>
      </c>
      <c r="P187" s="5">
        <f t="shared" si="43"/>
        <v>1.0149999999999999</v>
      </c>
      <c r="R187" s="96">
        <f t="shared" si="44"/>
        <v>4.1130282101122333</v>
      </c>
      <c r="S187" s="95">
        <f t="shared" si="45"/>
        <v>0.97779841884025565</v>
      </c>
      <c r="T187" s="96">
        <f t="shared" si="46"/>
        <v>60.099071555555561</v>
      </c>
      <c r="U187" s="97"/>
      <c r="V187" s="97">
        <f t="shared" si="50"/>
        <v>52.347631765064797</v>
      </c>
      <c r="W187" s="96">
        <f t="shared" si="58"/>
        <v>58.764777140789612</v>
      </c>
      <c r="X187" s="96">
        <f t="shared" si="53"/>
        <v>0.78763775813403736</v>
      </c>
      <c r="Y187" s="96">
        <f t="shared" si="47"/>
        <v>0.97538131171688069</v>
      </c>
      <c r="Z187" s="96">
        <f t="shared" si="51"/>
        <v>254.85669148846998</v>
      </c>
      <c r="AA187" s="97">
        <f t="shared" si="54"/>
        <v>151.70330851153014</v>
      </c>
      <c r="AB187" s="97">
        <f t="shared" si="55"/>
        <v>271.70330851153062</v>
      </c>
      <c r="AC187" s="97">
        <f t="shared" si="56"/>
        <v>2619.2505362508464</v>
      </c>
      <c r="AD187" s="96"/>
      <c r="AE187" s="105">
        <f t="shared" si="48"/>
        <v>14.856691488469977</v>
      </c>
    </row>
    <row r="188" spans="5:31" x14ac:dyDescent="0.35">
      <c r="E188" s="100">
        <f t="shared" si="57"/>
        <v>1.1291666666666869</v>
      </c>
      <c r="F188" s="5">
        <v>20</v>
      </c>
      <c r="G188" s="5">
        <f t="shared" si="52"/>
        <v>140</v>
      </c>
      <c r="H188" s="106">
        <f t="shared" si="52"/>
        <v>3.8194444444444443E-3</v>
      </c>
      <c r="I188" s="110">
        <f t="shared" si="49"/>
        <v>1.7687499999999998E-2</v>
      </c>
      <c r="J188" s="5">
        <v>1.05</v>
      </c>
      <c r="K188" s="5">
        <v>0</v>
      </c>
      <c r="L188" s="5">
        <v>0</v>
      </c>
      <c r="N188" s="5">
        <f t="shared" si="41"/>
        <v>140</v>
      </c>
      <c r="O188" s="97">
        <f t="shared" si="42"/>
        <v>181.81818181818184</v>
      </c>
      <c r="P188" s="5">
        <f t="shared" si="43"/>
        <v>1.0149999999999999</v>
      </c>
      <c r="R188" s="96">
        <f t="shared" si="44"/>
        <v>4.1130282101122333</v>
      </c>
      <c r="S188" s="95">
        <f t="shared" si="45"/>
        <v>0.97763667104046803</v>
      </c>
      <c r="T188" s="96">
        <f t="shared" si="46"/>
        <v>60.099071555555561</v>
      </c>
      <c r="U188" s="97"/>
      <c r="V188" s="97">
        <f t="shared" si="50"/>
        <v>52.347631765064797</v>
      </c>
      <c r="W188" s="96">
        <f t="shared" si="58"/>
        <v>58.755056248196219</v>
      </c>
      <c r="X188" s="96">
        <f t="shared" si="53"/>
        <v>0.78691802576116476</v>
      </c>
      <c r="Y188" s="96">
        <f t="shared" si="47"/>
        <v>0.96721088874609962</v>
      </c>
      <c r="Z188" s="96">
        <f t="shared" si="51"/>
        <v>255.82390237721609</v>
      </c>
      <c r="AA188" s="97">
        <f t="shared" si="54"/>
        <v>150.73609762278403</v>
      </c>
      <c r="AB188" s="97">
        <f t="shared" si="55"/>
        <v>270.73609762278454</v>
      </c>
      <c r="AC188" s="97">
        <f t="shared" si="56"/>
        <v>2633.2933317212564</v>
      </c>
      <c r="AD188" s="96"/>
      <c r="AE188" s="105">
        <f t="shared" si="48"/>
        <v>15.823902377216086</v>
      </c>
    </row>
    <row r="189" spans="5:31" x14ac:dyDescent="0.35">
      <c r="E189" s="100">
        <f t="shared" si="57"/>
        <v>1.1298611111111314</v>
      </c>
      <c r="F189" s="5">
        <v>20</v>
      </c>
      <c r="G189" s="5">
        <f t="shared" si="52"/>
        <v>140</v>
      </c>
      <c r="H189" s="106">
        <f t="shared" si="52"/>
        <v>3.8194444444444443E-3</v>
      </c>
      <c r="I189" s="110">
        <f t="shared" si="49"/>
        <v>1.7687499999999998E-2</v>
      </c>
      <c r="J189" s="5">
        <v>1.05</v>
      </c>
      <c r="K189" s="5">
        <v>0</v>
      </c>
      <c r="L189" s="5">
        <v>0</v>
      </c>
      <c r="N189" s="5">
        <f t="shared" si="41"/>
        <v>140</v>
      </c>
      <c r="O189" s="97">
        <f t="shared" si="42"/>
        <v>181.81818181818184</v>
      </c>
      <c r="P189" s="5">
        <f t="shared" si="43"/>
        <v>1.0149999999999999</v>
      </c>
      <c r="R189" s="96">
        <f t="shared" si="44"/>
        <v>4.1130282101122333</v>
      </c>
      <c r="S189" s="95">
        <f t="shared" si="45"/>
        <v>0.97747627814457572</v>
      </c>
      <c r="T189" s="96">
        <f t="shared" si="46"/>
        <v>60.099071555555561</v>
      </c>
      <c r="U189" s="97"/>
      <c r="V189" s="97">
        <f t="shared" si="50"/>
        <v>52.347631765064797</v>
      </c>
      <c r="W189" s="96">
        <f t="shared" si="58"/>
        <v>58.745416784068986</v>
      </c>
      <c r="X189" s="96">
        <f t="shared" si="53"/>
        <v>0.78620432233086213</v>
      </c>
      <c r="Y189" s="96">
        <f t="shared" si="47"/>
        <v>0.95911152346869755</v>
      </c>
      <c r="Z189" s="96">
        <f t="shared" si="51"/>
        <v>256.78301390068481</v>
      </c>
      <c r="AA189" s="97">
        <f t="shared" si="54"/>
        <v>149.77698609931534</v>
      </c>
      <c r="AB189" s="97">
        <f t="shared" si="55"/>
        <v>269.77698609931582</v>
      </c>
      <c r="AC189" s="97">
        <f t="shared" si="56"/>
        <v>2647.3338233044469</v>
      </c>
      <c r="AD189" s="96"/>
      <c r="AE189" s="105">
        <f t="shared" si="48"/>
        <v>16.783013900684807</v>
      </c>
    </row>
    <row r="190" spans="5:31" x14ac:dyDescent="0.35">
      <c r="E190" s="100">
        <f t="shared" si="57"/>
        <v>1.130555555555576</v>
      </c>
      <c r="F190" s="5">
        <v>20</v>
      </c>
      <c r="G190" s="5">
        <f t="shared" si="52"/>
        <v>140</v>
      </c>
      <c r="H190" s="106">
        <f t="shared" si="52"/>
        <v>3.8194444444444443E-3</v>
      </c>
      <c r="I190" s="110">
        <f t="shared" si="49"/>
        <v>1.7687499999999998E-2</v>
      </c>
      <c r="J190" s="5">
        <v>1.05</v>
      </c>
      <c r="K190" s="5">
        <v>0</v>
      </c>
      <c r="L190" s="5">
        <v>0</v>
      </c>
      <c r="N190" s="5">
        <f t="shared" si="41"/>
        <v>140</v>
      </c>
      <c r="O190" s="97">
        <f t="shared" si="42"/>
        <v>181.81818181818184</v>
      </c>
      <c r="P190" s="5">
        <f t="shared" si="43"/>
        <v>1.0149999999999999</v>
      </c>
      <c r="R190" s="96">
        <f t="shared" si="44"/>
        <v>4.1130282101122333</v>
      </c>
      <c r="S190" s="95">
        <f t="shared" si="45"/>
        <v>0.97731722836905865</v>
      </c>
      <c r="T190" s="96">
        <f t="shared" si="46"/>
        <v>60.099071555555561</v>
      </c>
      <c r="U190" s="97"/>
      <c r="V190" s="97">
        <f t="shared" si="50"/>
        <v>52.347631765064797</v>
      </c>
      <c r="W190" s="96">
        <f t="shared" si="58"/>
        <v>58.735858040229289</v>
      </c>
      <c r="X190" s="96">
        <f t="shared" si="53"/>
        <v>0.78549659540976657</v>
      </c>
      <c r="Y190" s="96">
        <f t="shared" si="47"/>
        <v>0.95108255509677475</v>
      </c>
      <c r="Z190" s="96">
        <f t="shared" si="51"/>
        <v>257.73409645578158</v>
      </c>
      <c r="AA190" s="97">
        <f t="shared" si="54"/>
        <v>148.82590354421856</v>
      </c>
      <c r="AB190" s="97">
        <f t="shared" si="55"/>
        <v>268.82590354421905</v>
      </c>
      <c r="AC190" s="97">
        <f t="shared" si="56"/>
        <v>2661.3720302930296</v>
      </c>
      <c r="AD190" s="96"/>
      <c r="AE190" s="105">
        <f t="shared" si="48"/>
        <v>17.734096455781582</v>
      </c>
    </row>
    <row r="191" spans="5:31" x14ac:dyDescent="0.35">
      <c r="E191" s="100">
        <f t="shared" si="57"/>
        <v>1.1312500000000205</v>
      </c>
      <c r="F191" s="5">
        <v>20</v>
      </c>
      <c r="G191" s="5">
        <f t="shared" si="52"/>
        <v>140</v>
      </c>
      <c r="H191" s="106">
        <f t="shared" si="52"/>
        <v>3.8194444444444443E-3</v>
      </c>
      <c r="I191" s="110">
        <f t="shared" si="49"/>
        <v>1.7687499999999998E-2</v>
      </c>
      <c r="J191" s="5">
        <v>1.05</v>
      </c>
      <c r="K191" s="5">
        <v>0</v>
      </c>
      <c r="L191" s="5">
        <v>0</v>
      </c>
      <c r="N191" s="5">
        <f t="shared" si="41"/>
        <v>140</v>
      </c>
      <c r="O191" s="97">
        <f t="shared" si="42"/>
        <v>181.81818181818184</v>
      </c>
      <c r="P191" s="5">
        <f t="shared" si="43"/>
        <v>1.0149999999999999</v>
      </c>
      <c r="R191" s="96">
        <f t="shared" si="44"/>
        <v>4.1130282101122333</v>
      </c>
      <c r="S191" s="95">
        <f t="shared" si="45"/>
        <v>0.97715951003997514</v>
      </c>
      <c r="T191" s="96">
        <f t="shared" si="46"/>
        <v>60.099071555555561</v>
      </c>
      <c r="U191" s="97"/>
      <c r="V191" s="97">
        <f t="shared" si="50"/>
        <v>52.347631765064797</v>
      </c>
      <c r="W191" s="96">
        <f t="shared" si="58"/>
        <v>58.726379315084081</v>
      </c>
      <c r="X191" s="96">
        <f t="shared" si="53"/>
        <v>0.78479479305210953</v>
      </c>
      <c r="Y191" s="96">
        <f t="shared" si="47"/>
        <v>0.94312332968224311</v>
      </c>
      <c r="Z191" s="96">
        <f t="shared" si="51"/>
        <v>258.67721978546382</v>
      </c>
      <c r="AA191" s="97">
        <f t="shared" si="54"/>
        <v>147.88278021453633</v>
      </c>
      <c r="AB191" s="97">
        <f t="shared" si="55"/>
        <v>267.88278021453681</v>
      </c>
      <c r="AC191" s="97">
        <f t="shared" si="56"/>
        <v>2675.407971811931</v>
      </c>
      <c r="AD191" s="96"/>
      <c r="AE191" s="105">
        <f t="shared" si="48"/>
        <v>18.677219785463819</v>
      </c>
    </row>
    <row r="192" spans="5:31" x14ac:dyDescent="0.35">
      <c r="E192" s="100">
        <f t="shared" si="57"/>
        <v>1.1319444444444651</v>
      </c>
      <c r="F192" s="5">
        <v>20</v>
      </c>
      <c r="G192" s="5">
        <f t="shared" si="52"/>
        <v>140</v>
      </c>
      <c r="H192" s="106">
        <f t="shared" si="52"/>
        <v>3.8194444444444443E-3</v>
      </c>
      <c r="I192" s="110">
        <f t="shared" si="49"/>
        <v>1.7687499999999998E-2</v>
      </c>
      <c r="J192" s="5">
        <v>1.05</v>
      </c>
      <c r="K192" s="5">
        <v>0</v>
      </c>
      <c r="L192" s="5">
        <v>0</v>
      </c>
      <c r="N192" s="5">
        <f t="shared" si="41"/>
        <v>140</v>
      </c>
      <c r="O192" s="97">
        <f t="shared" si="42"/>
        <v>181.81818181818184</v>
      </c>
      <c r="P192" s="5">
        <f t="shared" si="43"/>
        <v>1.0149999999999999</v>
      </c>
      <c r="R192" s="96">
        <f t="shared" si="44"/>
        <v>4.1130282101122333</v>
      </c>
      <c r="S192" s="95">
        <f t="shared" si="45"/>
        <v>0.97700311159182773</v>
      </c>
      <c r="T192" s="96">
        <f t="shared" si="46"/>
        <v>60.099071555555561</v>
      </c>
      <c r="U192" s="97"/>
      <c r="V192" s="97">
        <f t="shared" si="50"/>
        <v>52.347631765064797</v>
      </c>
      <c r="W192" s="96">
        <f t="shared" si="58"/>
        <v>58.716979913557687</v>
      </c>
      <c r="X192" s="96">
        <f t="shared" si="53"/>
        <v>0.78409886379466986</v>
      </c>
      <c r="Y192" s="96">
        <f t="shared" si="47"/>
        <v>0.9352332000349729</v>
      </c>
      <c r="Z192" s="96">
        <f t="shared" si="51"/>
        <v>259.61245298549881</v>
      </c>
      <c r="AA192" s="97">
        <f t="shared" si="54"/>
        <v>146.94754701450134</v>
      </c>
      <c r="AB192" s="97">
        <f t="shared" si="55"/>
        <v>266.94754701450182</v>
      </c>
      <c r="AC192" s="97">
        <f t="shared" si="56"/>
        <v>2689.4416668199515</v>
      </c>
      <c r="AD192" s="96"/>
      <c r="AE192" s="105">
        <f t="shared" si="48"/>
        <v>19.612452985498805</v>
      </c>
    </row>
    <row r="193" spans="5:31" x14ac:dyDescent="0.35">
      <c r="E193" s="100">
        <f t="shared" si="57"/>
        <v>1.1326388888889096</v>
      </c>
      <c r="F193" s="5">
        <v>20</v>
      </c>
      <c r="G193" s="5">
        <f t="shared" si="52"/>
        <v>140</v>
      </c>
      <c r="H193" s="106">
        <f t="shared" si="52"/>
        <v>3.8194444444444443E-3</v>
      </c>
      <c r="I193" s="110">
        <f t="shared" si="49"/>
        <v>1.7687499999999998E-2</v>
      </c>
      <c r="J193" s="5">
        <v>1.05</v>
      </c>
      <c r="K193" s="5">
        <v>0</v>
      </c>
      <c r="L193" s="5">
        <v>0</v>
      </c>
      <c r="N193" s="5">
        <f t="shared" si="41"/>
        <v>140</v>
      </c>
      <c r="O193" s="97">
        <f t="shared" si="42"/>
        <v>181.81818181818184</v>
      </c>
      <c r="P193" s="5">
        <f t="shared" si="43"/>
        <v>1.0149999999999999</v>
      </c>
      <c r="R193" s="96">
        <f t="shared" si="44"/>
        <v>4.1130282101122333</v>
      </c>
      <c r="S193" s="95">
        <f t="shared" si="45"/>
        <v>0.9768480215664429</v>
      </c>
      <c r="T193" s="96">
        <f t="shared" si="46"/>
        <v>60.099071555555561</v>
      </c>
      <c r="U193" s="97"/>
      <c r="V193" s="97">
        <f t="shared" si="50"/>
        <v>52.347631765064797</v>
      </c>
      <c r="W193" s="96">
        <f t="shared" si="58"/>
        <v>58.707659147024536</v>
      </c>
      <c r="X193" s="96">
        <f t="shared" si="53"/>
        <v>0.78340875665178689</v>
      </c>
      <c r="Y193" s="96">
        <f t="shared" si="47"/>
        <v>0.92741152564208762</v>
      </c>
      <c r="Z193" s="96">
        <f t="shared" si="51"/>
        <v>260.53986451114088</v>
      </c>
      <c r="AA193" s="97">
        <f t="shared" si="54"/>
        <v>146.02013548885924</v>
      </c>
      <c r="AB193" s="97">
        <f t="shared" si="55"/>
        <v>266.02013548885975</v>
      </c>
      <c r="AC193" s="97">
        <f t="shared" si="56"/>
        <v>2703.4731341113052</v>
      </c>
      <c r="AD193" s="96"/>
      <c r="AE193" s="105">
        <f t="shared" si="48"/>
        <v>20.539864511140877</v>
      </c>
    </row>
    <row r="194" spans="5:31" x14ac:dyDescent="0.35">
      <c r="E194" s="100">
        <f t="shared" si="57"/>
        <v>1.1333333333333542</v>
      </c>
      <c r="F194" s="5">
        <v>20</v>
      </c>
      <c r="G194" s="5">
        <f t="shared" si="52"/>
        <v>140</v>
      </c>
      <c r="H194" s="106">
        <f t="shared" si="52"/>
        <v>3.8194444444444443E-3</v>
      </c>
      <c r="I194" s="110">
        <f t="shared" si="49"/>
        <v>1.7687499999999998E-2</v>
      </c>
      <c r="J194" s="5">
        <v>1.05</v>
      </c>
      <c r="K194" s="5">
        <v>0</v>
      </c>
      <c r="L194" s="5">
        <v>0</v>
      </c>
      <c r="N194" s="5">
        <f t="shared" si="41"/>
        <v>140</v>
      </c>
      <c r="O194" s="97">
        <f t="shared" si="42"/>
        <v>181.81818181818184</v>
      </c>
      <c r="P194" s="5">
        <f t="shared" si="43"/>
        <v>1.0149999999999999</v>
      </c>
      <c r="R194" s="96">
        <f t="shared" si="44"/>
        <v>4.1130282101122333</v>
      </c>
      <c r="S194" s="95">
        <f t="shared" si="45"/>
        <v>0.97669422861186372</v>
      </c>
      <c r="T194" s="96">
        <f t="shared" si="46"/>
        <v>60.099071555555561</v>
      </c>
      <c r="U194" s="97"/>
      <c r="V194" s="97">
        <f t="shared" si="50"/>
        <v>52.347631765064797</v>
      </c>
      <c r="W194" s="96">
        <f t="shared" si="58"/>
        <v>58.698416333242541</v>
      </c>
      <c r="X194" s="96">
        <f t="shared" si="53"/>
        <v>0.78272442111043361</v>
      </c>
      <c r="Y194" s="96">
        <f t="shared" si="47"/>
        <v>0.91965767258839259</v>
      </c>
      <c r="Z194" s="96">
        <f t="shared" si="51"/>
        <v>261.45952218372929</v>
      </c>
      <c r="AA194" s="97">
        <f t="shared" si="54"/>
        <v>145.10047781627085</v>
      </c>
      <c r="AB194" s="97">
        <f t="shared" si="55"/>
        <v>265.10047781627134</v>
      </c>
      <c r="AC194" s="97">
        <f t="shared" si="56"/>
        <v>2717.502392317147</v>
      </c>
      <c r="AD194" s="96"/>
      <c r="AE194" s="105">
        <f t="shared" si="48"/>
        <v>21.459522183729291</v>
      </c>
    </row>
    <row r="195" spans="5:31" x14ac:dyDescent="0.35">
      <c r="E195" s="100">
        <f t="shared" si="57"/>
        <v>1.1340277777777987</v>
      </c>
      <c r="F195" s="5">
        <v>20</v>
      </c>
      <c r="G195" s="5">
        <f t="shared" si="52"/>
        <v>140</v>
      </c>
      <c r="H195" s="106">
        <f t="shared" si="52"/>
        <v>3.8194444444444443E-3</v>
      </c>
      <c r="I195" s="110">
        <f t="shared" si="49"/>
        <v>1.7687499999999998E-2</v>
      </c>
      <c r="J195" s="5">
        <v>1.05</v>
      </c>
      <c r="K195" s="5">
        <v>0</v>
      </c>
      <c r="L195" s="5">
        <v>0</v>
      </c>
      <c r="N195" s="5">
        <f t="shared" ref="N195:N258" si="59">G195*(1-0.0015*MAX(0,F195-24))*1</f>
        <v>140</v>
      </c>
      <c r="O195" s="97">
        <f t="shared" ref="O195:O258" si="60">1/((MINUTE(H195)*60+SECOND(H195))/60/1000)</f>
        <v>181.81818181818184</v>
      </c>
      <c r="P195" s="5">
        <f t="shared" ref="P195:P258" si="61">1+MIN(0.25, IF(HOUR(E195)&lt;12,0.005*HOUR(E195), IF(HOUR(E195)&lt;24,MIN(0.1,0.005*HOUR(E195)+0.0025*HOUR(E195)),0.1))  +  (K195/300)*0.01  +  (L195/300)*0.02)</f>
        <v>1.0149999999999999</v>
      </c>
      <c r="R195" s="96">
        <f t="shared" ref="R195:R258" si="62">(155.4*POWER(I195,5) - 30.4*POWER(I195,4) - 43.3*POWER(I195,3) + 46.3*POWER(I195,2) + 19.5*I195 + $C$31)*J195*P195</f>
        <v>4.1130282101122333</v>
      </c>
      <c r="S195" s="95">
        <f t="shared" ref="S195:S258" si="63">(1.106*X195+3.941)/(1.106*MAX(0.7,(0.7+0.3*(G195-$C$16)/($C$17-$C$16)))+3.941)</f>
        <v>0.97654172148125529</v>
      </c>
      <c r="T195" s="96">
        <f t="shared" ref="T195:T258" si="64">IF($C$12=1, -95.7735+(0.634*N195)+(0.404*$C$19)+(0.394*$C$14)+(0.271*$C$13), -59.3954+(0.45*N195)+(0.38*$C$19)+(0.103*$C$14)+(0.274*$C$13))+$C$30</f>
        <v>60.099071555555561</v>
      </c>
      <c r="U195" s="97"/>
      <c r="V195" s="97">
        <f t="shared" si="50"/>
        <v>52.347631765064797</v>
      </c>
      <c r="W195" s="96">
        <f t="shared" si="58"/>
        <v>58.689250796287368</v>
      </c>
      <c r="X195" s="96">
        <f t="shared" si="53"/>
        <v>0.78204580712534766</v>
      </c>
      <c r="Y195" s="96">
        <f t="shared" ref="Y195:Y258" si="65">(MAX(V195,W195) * (X195-0.7)/0.3)/17.6</f>
        <v>0.91197101347790777</v>
      </c>
      <c r="Z195" s="96">
        <f t="shared" si="51"/>
        <v>262.3714931972072</v>
      </c>
      <c r="AA195" s="97">
        <f t="shared" si="54"/>
        <v>144.18850680279294</v>
      </c>
      <c r="AB195" s="97">
        <f t="shared" si="55"/>
        <v>264.18850680279343</v>
      </c>
      <c r="AC195" s="97">
        <f t="shared" si="56"/>
        <v>2731.5294599070817</v>
      </c>
      <c r="AD195" s="96"/>
      <c r="AE195" s="105">
        <f t="shared" ref="AE195:AE258" si="66">MOD(Z195,30)</f>
        <v>22.371493197207201</v>
      </c>
    </row>
    <row r="196" spans="5:31" x14ac:dyDescent="0.35">
      <c r="E196" s="100">
        <f t="shared" si="57"/>
        <v>1.1347222222222433</v>
      </c>
      <c r="F196" s="5">
        <v>20</v>
      </c>
      <c r="G196" s="5">
        <f t="shared" si="52"/>
        <v>140</v>
      </c>
      <c r="H196" s="106">
        <f t="shared" si="52"/>
        <v>3.8194444444444443E-3</v>
      </c>
      <c r="I196" s="110">
        <f t="shared" ref="I196:I259" si="67">(140+143)/16000</f>
        <v>1.7687499999999998E-2</v>
      </c>
      <c r="J196" s="5">
        <v>1.05</v>
      </c>
      <c r="K196" s="5">
        <v>0</v>
      </c>
      <c r="L196" s="5">
        <v>0</v>
      </c>
      <c r="N196" s="5">
        <f t="shared" si="59"/>
        <v>140</v>
      </c>
      <c r="O196" s="97">
        <f t="shared" si="60"/>
        <v>181.81818181818184</v>
      </c>
      <c r="P196" s="5">
        <f t="shared" si="61"/>
        <v>1.0149999999999999</v>
      </c>
      <c r="R196" s="96">
        <f t="shared" si="62"/>
        <v>4.1130282101122333</v>
      </c>
      <c r="S196" s="95">
        <f t="shared" si="63"/>
        <v>0.97639048903182424</v>
      </c>
      <c r="T196" s="96">
        <f t="shared" si="64"/>
        <v>60.099071555555561</v>
      </c>
      <c r="U196" s="97"/>
      <c r="V196" s="97">
        <f t="shared" ref="V196:V259" si="68">O196*R196*$C$14/1000</f>
        <v>52.347631765064797</v>
      </c>
      <c r="W196" s="96">
        <f t="shared" si="58"/>
        <v>58.680161866487495</v>
      </c>
      <c r="X196" s="96">
        <f t="shared" si="53"/>
        <v>0.78137286511422177</v>
      </c>
      <c r="Y196" s="96">
        <f t="shared" si="65"/>
        <v>0.90435092735651312</v>
      </c>
      <c r="Z196" s="96">
        <f t="shared" ref="Z196:Z259" si="69">Z195+Y196</f>
        <v>263.27584412456372</v>
      </c>
      <c r="AA196" s="97">
        <f t="shared" si="54"/>
        <v>143.28415587543643</v>
      </c>
      <c r="AB196" s="97">
        <f t="shared" si="55"/>
        <v>263.28415587543691</v>
      </c>
      <c r="AC196" s="97">
        <f t="shared" si="56"/>
        <v>2745.554355190659</v>
      </c>
      <c r="AD196" s="96"/>
      <c r="AE196" s="105">
        <f t="shared" si="66"/>
        <v>23.275844124563719</v>
      </c>
    </row>
    <row r="197" spans="5:31" x14ac:dyDescent="0.35">
      <c r="E197" s="100">
        <f t="shared" si="57"/>
        <v>1.1354166666666878</v>
      </c>
      <c r="F197" s="5">
        <v>20</v>
      </c>
      <c r="G197" s="5">
        <f t="shared" ref="G197:H260" si="70">G196</f>
        <v>140</v>
      </c>
      <c r="H197" s="106">
        <f t="shared" si="70"/>
        <v>3.8194444444444443E-3</v>
      </c>
      <c r="I197" s="110">
        <f t="shared" si="67"/>
        <v>1.7687499999999998E-2</v>
      </c>
      <c r="J197" s="5">
        <v>1.05</v>
      </c>
      <c r="K197" s="5">
        <v>0</v>
      </c>
      <c r="L197" s="5">
        <v>0</v>
      </c>
      <c r="N197" s="5">
        <f t="shared" si="59"/>
        <v>140</v>
      </c>
      <c r="O197" s="97">
        <f t="shared" si="60"/>
        <v>181.81818181818184</v>
      </c>
      <c r="P197" s="5">
        <f t="shared" si="61"/>
        <v>1.0149999999999999</v>
      </c>
      <c r="R197" s="96">
        <f t="shared" si="62"/>
        <v>4.1130282101122333</v>
      </c>
      <c r="S197" s="95">
        <f t="shared" si="63"/>
        <v>0.9762405202237503</v>
      </c>
      <c r="T197" s="96">
        <f t="shared" si="64"/>
        <v>60.099071555555561</v>
      </c>
      <c r="U197" s="97"/>
      <c r="V197" s="97">
        <f t="shared" si="68"/>
        <v>52.347631765064797</v>
      </c>
      <c r="W197" s="96">
        <f t="shared" si="58"/>
        <v>58.671148880359958</v>
      </c>
      <c r="X197" s="96">
        <f t="shared" ref="X197:X260" si="71">MAX(0.7, (0.7+0.3*(G197-$C$16)/($C$17-$C$16)) - 0.3*($C$29-AB196)/$C$29)</f>
        <v>0.78070554595294916</v>
      </c>
      <c r="Y197" s="96">
        <f t="shared" si="65"/>
        <v>0.89679679963564674</v>
      </c>
      <c r="Z197" s="96">
        <f t="shared" si="69"/>
        <v>264.17264092419936</v>
      </c>
      <c r="AA197" s="97">
        <f t="shared" ref="AA197:AA260" si="72">AA196-Y197</f>
        <v>142.38735907580079</v>
      </c>
      <c r="AB197" s="97">
        <f t="shared" ref="AB197:AB260" si="73">AB196-Y197+IF(MOD(60*HOUR(E197)+MINUTE(E197),MINUTE($C$35))=0,$C$34,0)</f>
        <v>262.38735907580127</v>
      </c>
      <c r="AC197" s="97">
        <f t="shared" ref="AC197:AC260" si="74">MAX(V197,W197)/4.184+AC196</f>
        <v>2759.577096318852</v>
      </c>
      <c r="AD197" s="96"/>
      <c r="AE197" s="105">
        <f t="shared" si="66"/>
        <v>24.172640924199357</v>
      </c>
    </row>
    <row r="198" spans="5:31" x14ac:dyDescent="0.35">
      <c r="E198" s="100">
        <f t="shared" si="57"/>
        <v>1.1361111111111324</v>
      </c>
      <c r="F198" s="5">
        <v>20</v>
      </c>
      <c r="G198" s="5">
        <f t="shared" si="70"/>
        <v>140</v>
      </c>
      <c r="H198" s="106">
        <f t="shared" si="70"/>
        <v>3.8194444444444443E-3</v>
      </c>
      <c r="I198" s="110">
        <f t="shared" si="67"/>
        <v>1.7687499999999998E-2</v>
      </c>
      <c r="J198" s="5">
        <v>1.05</v>
      </c>
      <c r="K198" s="5">
        <v>0</v>
      </c>
      <c r="L198" s="5">
        <v>0</v>
      </c>
      <c r="N198" s="5">
        <f t="shared" si="59"/>
        <v>140</v>
      </c>
      <c r="O198" s="97">
        <f t="shared" si="60"/>
        <v>181.81818181818184</v>
      </c>
      <c r="P198" s="5">
        <f t="shared" si="61"/>
        <v>1.0149999999999999</v>
      </c>
      <c r="R198" s="96">
        <f t="shared" si="62"/>
        <v>4.1130282101122333</v>
      </c>
      <c r="S198" s="95">
        <f t="shared" si="63"/>
        <v>0.9760918041191301</v>
      </c>
      <c r="T198" s="96">
        <f t="shared" si="64"/>
        <v>60.099071555555561</v>
      </c>
      <c r="U198" s="97"/>
      <c r="V198" s="97">
        <f t="shared" si="68"/>
        <v>52.347631765064797</v>
      </c>
      <c r="W198" s="96">
        <f t="shared" si="58"/>
        <v>58.662211180546919</v>
      </c>
      <c r="X198" s="96">
        <f t="shared" si="71"/>
        <v>0.78004380097092763</v>
      </c>
      <c r="Y198" s="96">
        <f t="shared" si="65"/>
        <v>0.88930802201708803</v>
      </c>
      <c r="Z198" s="96">
        <f t="shared" si="69"/>
        <v>265.06194894621643</v>
      </c>
      <c r="AA198" s="97">
        <f t="shared" si="72"/>
        <v>141.49805105378371</v>
      </c>
      <c r="AB198" s="97">
        <f t="shared" si="73"/>
        <v>261.4980510537842</v>
      </c>
      <c r="AC198" s="97">
        <f t="shared" si="74"/>
        <v>2773.5977012855219</v>
      </c>
      <c r="AD198" s="96"/>
      <c r="AE198" s="105">
        <f t="shared" si="66"/>
        <v>25.061948946216432</v>
      </c>
    </row>
    <row r="199" spans="5:31" x14ac:dyDescent="0.35">
      <c r="E199" s="100">
        <f t="shared" si="57"/>
        <v>1.1368055555555769</v>
      </c>
      <c r="F199" s="5">
        <v>20</v>
      </c>
      <c r="G199" s="5">
        <f t="shared" si="70"/>
        <v>140</v>
      </c>
      <c r="H199" s="106">
        <f t="shared" si="70"/>
        <v>3.8194444444444443E-3</v>
      </c>
      <c r="I199" s="110">
        <f t="shared" si="67"/>
        <v>1.7687499999999998E-2</v>
      </c>
      <c r="J199" s="5">
        <v>1.05</v>
      </c>
      <c r="K199" s="5">
        <v>0</v>
      </c>
      <c r="L199" s="5">
        <v>0</v>
      </c>
      <c r="N199" s="5">
        <f t="shared" si="59"/>
        <v>140</v>
      </c>
      <c r="O199" s="97">
        <f t="shared" si="60"/>
        <v>181.81818181818184</v>
      </c>
      <c r="P199" s="5">
        <f t="shared" si="61"/>
        <v>1.0149999999999999</v>
      </c>
      <c r="R199" s="96">
        <f t="shared" si="62"/>
        <v>4.1130282101122333</v>
      </c>
      <c r="S199" s="95">
        <f t="shared" si="63"/>
        <v>0.97594432988093549</v>
      </c>
      <c r="T199" s="96">
        <f t="shared" si="64"/>
        <v>60.099071555555561</v>
      </c>
      <c r="U199" s="97"/>
      <c r="V199" s="97">
        <f t="shared" si="68"/>
        <v>52.347631765064797</v>
      </c>
      <c r="W199" s="96">
        <f t="shared" si="58"/>
        <v>58.653348115753062</v>
      </c>
      <c r="X199" s="96">
        <f t="shared" si="71"/>
        <v>0.77938758194641677</v>
      </c>
      <c r="Y199" s="96">
        <f t="shared" si="65"/>
        <v>0.88188399241876114</v>
      </c>
      <c r="Z199" s="96">
        <f t="shared" si="69"/>
        <v>265.94383293863518</v>
      </c>
      <c r="AA199" s="97">
        <f t="shared" si="72"/>
        <v>140.61616706136496</v>
      </c>
      <c r="AB199" s="97">
        <f t="shared" si="73"/>
        <v>260.61616706136545</v>
      </c>
      <c r="AC199" s="97">
        <f t="shared" si="74"/>
        <v>2787.6161879288661</v>
      </c>
      <c r="AD199" s="96"/>
      <c r="AE199" s="105">
        <f t="shared" si="66"/>
        <v>25.943832938635182</v>
      </c>
    </row>
    <row r="200" spans="5:31" x14ac:dyDescent="0.35">
      <c r="E200" s="100">
        <f t="shared" si="57"/>
        <v>1.1375000000000215</v>
      </c>
      <c r="F200" s="5">
        <v>20</v>
      </c>
      <c r="G200" s="5">
        <f t="shared" si="70"/>
        <v>140</v>
      </c>
      <c r="H200" s="106">
        <f t="shared" si="70"/>
        <v>3.8194444444444443E-3</v>
      </c>
      <c r="I200" s="110">
        <f t="shared" si="67"/>
        <v>1.7687499999999998E-2</v>
      </c>
      <c r="J200" s="5">
        <v>1.05</v>
      </c>
      <c r="K200" s="5">
        <v>0</v>
      </c>
      <c r="L200" s="5">
        <v>0</v>
      </c>
      <c r="N200" s="5">
        <f t="shared" si="59"/>
        <v>140</v>
      </c>
      <c r="O200" s="97">
        <f t="shared" si="60"/>
        <v>181.81818181818184</v>
      </c>
      <c r="P200" s="5">
        <f t="shared" si="61"/>
        <v>1.0149999999999999</v>
      </c>
      <c r="R200" s="96">
        <f t="shared" si="62"/>
        <v>4.1130282101122333</v>
      </c>
      <c r="S200" s="95">
        <f t="shared" si="63"/>
        <v>0.97579808677198077</v>
      </c>
      <c r="T200" s="96">
        <f t="shared" si="64"/>
        <v>60.099071555555561</v>
      </c>
      <c r="U200" s="97"/>
      <c r="V200" s="97">
        <f t="shared" si="68"/>
        <v>52.347631765064797</v>
      </c>
      <c r="W200" s="96">
        <f t="shared" si="58"/>
        <v>58.64455904068349</v>
      </c>
      <c r="X200" s="96">
        <f t="shared" si="71"/>
        <v>0.77873684110195196</v>
      </c>
      <c r="Y200" s="96">
        <f t="shared" si="65"/>
        <v>0.87452411490157922</v>
      </c>
      <c r="Z200" s="96">
        <f t="shared" si="69"/>
        <v>266.81835705353677</v>
      </c>
      <c r="AA200" s="97">
        <f t="shared" si="72"/>
        <v>139.74164294646337</v>
      </c>
      <c r="AB200" s="97">
        <f t="shared" si="73"/>
        <v>259.74164294646386</v>
      </c>
      <c r="AC200" s="97">
        <f t="shared" si="74"/>
        <v>2801.6325739328536</v>
      </c>
      <c r="AD200" s="96"/>
      <c r="AE200" s="105">
        <f t="shared" si="66"/>
        <v>26.818357053536772</v>
      </c>
    </row>
    <row r="201" spans="5:31" x14ac:dyDescent="0.35">
      <c r="E201" s="100">
        <f t="shared" si="57"/>
        <v>1.138194444444466</v>
      </c>
      <c r="F201" s="5">
        <v>20</v>
      </c>
      <c r="G201" s="5">
        <f t="shared" si="70"/>
        <v>140</v>
      </c>
      <c r="H201" s="106">
        <f t="shared" si="70"/>
        <v>3.8194444444444443E-3</v>
      </c>
      <c r="I201" s="110">
        <f t="shared" si="67"/>
        <v>1.7687499999999998E-2</v>
      </c>
      <c r="J201" s="5">
        <v>1.05</v>
      </c>
      <c r="K201" s="5">
        <v>0</v>
      </c>
      <c r="L201" s="5">
        <v>0</v>
      </c>
      <c r="N201" s="5">
        <f t="shared" si="59"/>
        <v>140</v>
      </c>
      <c r="O201" s="97">
        <f t="shared" si="60"/>
        <v>181.81818181818184</v>
      </c>
      <c r="P201" s="5">
        <f t="shared" si="61"/>
        <v>1.0149999999999999</v>
      </c>
      <c r="R201" s="96">
        <f t="shared" si="62"/>
        <v>4.1130282101122333</v>
      </c>
      <c r="S201" s="95">
        <f t="shared" si="63"/>
        <v>0.97565306415390596</v>
      </c>
      <c r="T201" s="96">
        <f t="shared" si="64"/>
        <v>60.099071555555561</v>
      </c>
      <c r="U201" s="97"/>
      <c r="V201" s="97">
        <f t="shared" si="68"/>
        <v>52.347631765064797</v>
      </c>
      <c r="W201" s="96">
        <f t="shared" si="58"/>
        <v>58.635843315982633</v>
      </c>
      <c r="X201" s="96">
        <f t="shared" si="71"/>
        <v>0.77809153109981088</v>
      </c>
      <c r="Y201" s="96">
        <f t="shared" si="65"/>
        <v>0.86722779959729146</v>
      </c>
      <c r="Z201" s="96">
        <f t="shared" si="69"/>
        <v>267.68558485313406</v>
      </c>
      <c r="AA201" s="97">
        <f t="shared" si="72"/>
        <v>138.87441514686608</v>
      </c>
      <c r="AB201" s="97">
        <f t="shared" si="73"/>
        <v>258.87441514686657</v>
      </c>
      <c r="AC201" s="97">
        <f t="shared" si="74"/>
        <v>2815.6468768286431</v>
      </c>
      <c r="AD201" s="96"/>
      <c r="AE201" s="105">
        <f t="shared" si="66"/>
        <v>27.68558485313406</v>
      </c>
    </row>
    <row r="202" spans="5:31" x14ac:dyDescent="0.35">
      <c r="E202" s="100">
        <f t="shared" si="57"/>
        <v>1.1388888888889106</v>
      </c>
      <c r="F202" s="5">
        <v>20</v>
      </c>
      <c r="G202" s="5">
        <f t="shared" si="70"/>
        <v>140</v>
      </c>
      <c r="H202" s="106">
        <f t="shared" si="70"/>
        <v>3.8194444444444443E-3</v>
      </c>
      <c r="I202" s="110">
        <f t="shared" si="67"/>
        <v>1.7687499999999998E-2</v>
      </c>
      <c r="J202" s="5">
        <v>1.05</v>
      </c>
      <c r="K202" s="5">
        <v>0</v>
      </c>
      <c r="L202" s="5">
        <v>0</v>
      </c>
      <c r="N202" s="5">
        <f t="shared" si="59"/>
        <v>140</v>
      </c>
      <c r="O202" s="97">
        <f t="shared" si="60"/>
        <v>181.81818181818184</v>
      </c>
      <c r="P202" s="5">
        <f t="shared" si="61"/>
        <v>1.0149999999999999</v>
      </c>
      <c r="R202" s="96">
        <f t="shared" si="62"/>
        <v>4.1130282101122333</v>
      </c>
      <c r="S202" s="95">
        <f t="shared" si="63"/>
        <v>0.97550925148616818</v>
      </c>
      <c r="T202" s="96">
        <f t="shared" si="64"/>
        <v>60.099071555555561</v>
      </c>
      <c r="U202" s="97"/>
      <c r="V202" s="97">
        <f t="shared" si="68"/>
        <v>52.347631765064797</v>
      </c>
      <c r="W202" s="96">
        <f t="shared" si="58"/>
        <v>58.62720030817367</v>
      </c>
      <c r="X202" s="96">
        <f t="shared" si="71"/>
        <v>0.77745160503753419</v>
      </c>
      <c r="Y202" s="96">
        <f t="shared" si="65"/>
        <v>0.85999446263732438</v>
      </c>
      <c r="Z202" s="96">
        <f t="shared" si="69"/>
        <v>268.54557931577136</v>
      </c>
      <c r="AA202" s="97">
        <f t="shared" si="72"/>
        <v>138.01442068422875</v>
      </c>
      <c r="AB202" s="97">
        <f t="shared" si="73"/>
        <v>288.01442068422926</v>
      </c>
      <c r="AC202" s="97">
        <f t="shared" si="74"/>
        <v>2829.6591139959887</v>
      </c>
      <c r="AD202" s="96"/>
      <c r="AE202" s="105">
        <f t="shared" si="66"/>
        <v>28.545579315771363</v>
      </c>
    </row>
    <row r="203" spans="5:31" x14ac:dyDescent="0.35">
      <c r="E203" s="100">
        <f t="shared" si="57"/>
        <v>1.1395833333333552</v>
      </c>
      <c r="F203" s="5">
        <v>20</v>
      </c>
      <c r="G203" s="5">
        <f t="shared" si="70"/>
        <v>140</v>
      </c>
      <c r="H203" s="106">
        <f t="shared" si="70"/>
        <v>3.8194444444444443E-3</v>
      </c>
      <c r="I203" s="110">
        <f t="shared" si="67"/>
        <v>1.7687499999999998E-2</v>
      </c>
      <c r="J203" s="5">
        <v>1.05</v>
      </c>
      <c r="K203" s="5">
        <v>0</v>
      </c>
      <c r="L203" s="5">
        <v>0</v>
      </c>
      <c r="N203" s="5">
        <f t="shared" si="59"/>
        <v>140</v>
      </c>
      <c r="O203" s="97">
        <f t="shared" si="60"/>
        <v>181.81818181818184</v>
      </c>
      <c r="P203" s="5">
        <f t="shared" si="61"/>
        <v>1.0149999999999999</v>
      </c>
      <c r="R203" s="96">
        <f t="shared" si="62"/>
        <v>4.1130282101122333</v>
      </c>
      <c r="S203" s="95">
        <f t="shared" si="63"/>
        <v>0.98034154807094942</v>
      </c>
      <c r="T203" s="96">
        <f t="shared" si="64"/>
        <v>60.099071555555561</v>
      </c>
      <c r="U203" s="97"/>
      <c r="V203" s="97">
        <f t="shared" si="68"/>
        <v>52.347631765064797</v>
      </c>
      <c r="W203" s="96">
        <f t="shared" si="58"/>
        <v>58.917616846400101</v>
      </c>
      <c r="X203" s="96">
        <f t="shared" si="71"/>
        <v>0.79895397039863425</v>
      </c>
      <c r="Y203" s="96">
        <f t="shared" si="65"/>
        <v>1.1041916881395366</v>
      </c>
      <c r="Z203" s="96">
        <f t="shared" si="69"/>
        <v>269.64977100391093</v>
      </c>
      <c r="AA203" s="97">
        <f t="shared" si="72"/>
        <v>136.91022899608922</v>
      </c>
      <c r="AB203" s="97">
        <f t="shared" si="73"/>
        <v>286.9102289960897</v>
      </c>
      <c r="AC203" s="97">
        <f t="shared" si="74"/>
        <v>2843.7407623818394</v>
      </c>
      <c r="AD203" s="96"/>
      <c r="AE203" s="105">
        <f t="shared" si="66"/>
        <v>29.649771003910928</v>
      </c>
    </row>
    <row r="204" spans="5:31" x14ac:dyDescent="0.35">
      <c r="E204" s="100">
        <f t="shared" si="57"/>
        <v>1.1402777777777997</v>
      </c>
      <c r="F204" s="5">
        <v>20</v>
      </c>
      <c r="G204" s="5">
        <f t="shared" si="70"/>
        <v>140</v>
      </c>
      <c r="H204" s="106">
        <f t="shared" si="70"/>
        <v>3.8194444444444443E-3</v>
      </c>
      <c r="I204" s="110">
        <f t="shared" si="67"/>
        <v>1.7687499999999998E-2</v>
      </c>
      <c r="J204" s="5">
        <v>1.05</v>
      </c>
      <c r="K204" s="5">
        <v>0</v>
      </c>
      <c r="L204" s="5">
        <v>0</v>
      </c>
      <c r="N204" s="5">
        <f t="shared" si="59"/>
        <v>140</v>
      </c>
      <c r="O204" s="97">
        <f t="shared" si="60"/>
        <v>181.81818181818184</v>
      </c>
      <c r="P204" s="5">
        <f t="shared" si="61"/>
        <v>1.0149999999999999</v>
      </c>
      <c r="R204" s="96">
        <f t="shared" si="62"/>
        <v>4.1130282101122333</v>
      </c>
      <c r="S204" s="95">
        <f t="shared" si="63"/>
        <v>0.98015843960459381</v>
      </c>
      <c r="T204" s="96">
        <f t="shared" si="64"/>
        <v>60.099071555555561</v>
      </c>
      <c r="U204" s="97"/>
      <c r="V204" s="97">
        <f t="shared" si="68"/>
        <v>52.347631765064797</v>
      </c>
      <c r="W204" s="96">
        <f t="shared" si="58"/>
        <v>58.90661219757817</v>
      </c>
      <c r="X204" s="96">
        <f t="shared" si="71"/>
        <v>0.79813918904670123</v>
      </c>
      <c r="Y204" s="96">
        <f t="shared" si="65"/>
        <v>1.0948952936664473</v>
      </c>
      <c r="Z204" s="96">
        <f t="shared" si="69"/>
        <v>270.7446662975774</v>
      </c>
      <c r="AA204" s="97">
        <f t="shared" si="72"/>
        <v>135.81533370242278</v>
      </c>
      <c r="AB204" s="97">
        <f t="shared" si="73"/>
        <v>285.81533370242323</v>
      </c>
      <c r="AC204" s="97">
        <f t="shared" si="74"/>
        <v>2857.8197805934979</v>
      </c>
      <c r="AD204" s="96"/>
      <c r="AE204" s="105">
        <f t="shared" si="66"/>
        <v>0.74466629757739611</v>
      </c>
    </row>
    <row r="205" spans="5:31" x14ac:dyDescent="0.35">
      <c r="E205" s="100">
        <f t="shared" si="57"/>
        <v>1.1409722222222443</v>
      </c>
      <c r="F205" s="5">
        <v>20</v>
      </c>
      <c r="G205" s="5">
        <f t="shared" si="70"/>
        <v>140</v>
      </c>
      <c r="H205" s="106">
        <f t="shared" si="70"/>
        <v>3.8194444444444443E-3</v>
      </c>
      <c r="I205" s="110">
        <f t="shared" si="67"/>
        <v>1.7687499999999998E-2</v>
      </c>
      <c r="J205" s="5">
        <v>1.05</v>
      </c>
      <c r="K205" s="5">
        <v>0</v>
      </c>
      <c r="L205" s="5">
        <v>0</v>
      </c>
      <c r="N205" s="5">
        <f t="shared" si="59"/>
        <v>140</v>
      </c>
      <c r="O205" s="97">
        <f t="shared" si="60"/>
        <v>181.81818181818184</v>
      </c>
      <c r="P205" s="5">
        <f t="shared" si="61"/>
        <v>1.0149999999999999</v>
      </c>
      <c r="R205" s="96">
        <f t="shared" si="62"/>
        <v>4.1130282101122333</v>
      </c>
      <c r="S205" s="95">
        <f t="shared" si="63"/>
        <v>0.97997687276235368</v>
      </c>
      <c r="T205" s="96">
        <f t="shared" si="64"/>
        <v>60.099071555555561</v>
      </c>
      <c r="U205" s="97"/>
      <c r="V205" s="97">
        <f t="shared" si="68"/>
        <v>52.347631765064797</v>
      </c>
      <c r="W205" s="96">
        <f t="shared" si="58"/>
        <v>58.895700198934264</v>
      </c>
      <c r="X205" s="96">
        <f t="shared" si="71"/>
        <v>0.79733126748998162</v>
      </c>
      <c r="Y205" s="96">
        <f t="shared" si="65"/>
        <v>1.0856805208470146</v>
      </c>
      <c r="Z205" s="96">
        <f t="shared" si="69"/>
        <v>271.8303468184244</v>
      </c>
      <c r="AA205" s="97">
        <f t="shared" si="72"/>
        <v>134.72965318157577</v>
      </c>
      <c r="AB205" s="97">
        <f t="shared" si="73"/>
        <v>284.72965318157623</v>
      </c>
      <c r="AC205" s="97">
        <f t="shared" si="74"/>
        <v>2871.8961907748876</v>
      </c>
      <c r="AD205" s="96"/>
      <c r="AE205" s="105">
        <f t="shared" si="66"/>
        <v>1.8303468184244025</v>
      </c>
    </row>
    <row r="206" spans="5:31" x14ac:dyDescent="0.35">
      <c r="E206" s="100">
        <f t="shared" si="57"/>
        <v>1.1416666666666888</v>
      </c>
      <c r="F206" s="5">
        <v>20</v>
      </c>
      <c r="G206" s="5">
        <f t="shared" si="70"/>
        <v>140</v>
      </c>
      <c r="H206" s="106">
        <f t="shared" si="70"/>
        <v>3.8194444444444443E-3</v>
      </c>
      <c r="I206" s="110">
        <f t="shared" si="67"/>
        <v>1.7687499999999998E-2</v>
      </c>
      <c r="J206" s="5">
        <v>1.05</v>
      </c>
      <c r="K206" s="5">
        <v>0</v>
      </c>
      <c r="L206" s="5">
        <v>0</v>
      </c>
      <c r="N206" s="5">
        <f t="shared" si="59"/>
        <v>140</v>
      </c>
      <c r="O206" s="97">
        <f t="shared" si="60"/>
        <v>181.81818181818184</v>
      </c>
      <c r="P206" s="5">
        <f t="shared" si="61"/>
        <v>1.0149999999999999</v>
      </c>
      <c r="R206" s="96">
        <f t="shared" si="62"/>
        <v>4.1130282101122333</v>
      </c>
      <c r="S206" s="95">
        <f t="shared" si="63"/>
        <v>0.97979683400888384</v>
      </c>
      <c r="T206" s="96">
        <f t="shared" si="64"/>
        <v>60.099071555555561</v>
      </c>
      <c r="U206" s="97"/>
      <c r="V206" s="97">
        <f t="shared" si="68"/>
        <v>52.347631765064797</v>
      </c>
      <c r="W206" s="96">
        <f t="shared" si="58"/>
        <v>58.884880037006702</v>
      </c>
      <c r="X206" s="96">
        <f t="shared" si="71"/>
        <v>0.79653014549998236</v>
      </c>
      <c r="Y206" s="96">
        <f t="shared" si="65"/>
        <v>1.07654659805327</v>
      </c>
      <c r="Z206" s="96">
        <f t="shared" si="69"/>
        <v>272.90689341647766</v>
      </c>
      <c r="AA206" s="97">
        <f t="shared" si="72"/>
        <v>133.65310658352249</v>
      </c>
      <c r="AB206" s="97">
        <f t="shared" si="73"/>
        <v>283.65310658352297</v>
      </c>
      <c r="AC206" s="97">
        <f t="shared" si="74"/>
        <v>2885.9700148755105</v>
      </c>
      <c r="AD206" s="96"/>
      <c r="AE206" s="105">
        <f t="shared" si="66"/>
        <v>2.9068934164776579</v>
      </c>
    </row>
    <row r="207" spans="5:31" x14ac:dyDescent="0.35">
      <c r="E207" s="100">
        <f t="shared" si="57"/>
        <v>1.1423611111111334</v>
      </c>
      <c r="F207" s="5">
        <v>20</v>
      </c>
      <c r="G207" s="5">
        <f t="shared" si="70"/>
        <v>140</v>
      </c>
      <c r="H207" s="106">
        <f t="shared" si="70"/>
        <v>3.8194444444444443E-3</v>
      </c>
      <c r="I207" s="110">
        <f t="shared" si="67"/>
        <v>1.7687499999999998E-2</v>
      </c>
      <c r="J207" s="5">
        <v>1.05</v>
      </c>
      <c r="K207" s="5">
        <v>0</v>
      </c>
      <c r="L207" s="5">
        <v>0</v>
      </c>
      <c r="N207" s="5">
        <f t="shared" si="59"/>
        <v>140</v>
      </c>
      <c r="O207" s="97">
        <f t="shared" si="60"/>
        <v>181.81818181818184</v>
      </c>
      <c r="P207" s="5">
        <f t="shared" si="61"/>
        <v>1.0149999999999999</v>
      </c>
      <c r="R207" s="96">
        <f t="shared" si="62"/>
        <v>4.1130282101122333</v>
      </c>
      <c r="S207" s="95">
        <f t="shared" si="63"/>
        <v>0.97961830993679799</v>
      </c>
      <c r="T207" s="96">
        <f t="shared" si="64"/>
        <v>60.099071555555561</v>
      </c>
      <c r="U207" s="97"/>
      <c r="V207" s="97">
        <f t="shared" si="68"/>
        <v>52.347631765064797</v>
      </c>
      <c r="W207" s="96">
        <f t="shared" si="58"/>
        <v>58.874150906024028</v>
      </c>
      <c r="X207" s="96">
        <f t="shared" si="71"/>
        <v>0.79573576341759356</v>
      </c>
      <c r="Y207" s="96">
        <f t="shared" si="65"/>
        <v>1.0674927618467462</v>
      </c>
      <c r="Z207" s="96">
        <f t="shared" si="69"/>
        <v>273.97438617832438</v>
      </c>
      <c r="AA207" s="97">
        <f t="shared" si="72"/>
        <v>132.58561382167574</v>
      </c>
      <c r="AB207" s="97">
        <f t="shared" si="73"/>
        <v>282.58561382167625</v>
      </c>
      <c r="AC207" s="97">
        <f t="shared" si="74"/>
        <v>2900.0412746522848</v>
      </c>
      <c r="AD207" s="96"/>
      <c r="AE207" s="105">
        <f t="shared" si="66"/>
        <v>3.9743861783243801</v>
      </c>
    </row>
    <row r="208" spans="5:31" x14ac:dyDescent="0.35">
      <c r="E208" s="100">
        <f t="shared" si="57"/>
        <v>1.1430555555555779</v>
      </c>
      <c r="F208" s="5">
        <v>20</v>
      </c>
      <c r="G208" s="5">
        <f t="shared" si="70"/>
        <v>140</v>
      </c>
      <c r="H208" s="106">
        <f t="shared" si="70"/>
        <v>3.8194444444444443E-3</v>
      </c>
      <c r="I208" s="110">
        <f t="shared" si="67"/>
        <v>1.7687499999999998E-2</v>
      </c>
      <c r="J208" s="5">
        <v>1.05</v>
      </c>
      <c r="K208" s="5">
        <v>0</v>
      </c>
      <c r="L208" s="5">
        <v>0</v>
      </c>
      <c r="N208" s="5">
        <f t="shared" si="59"/>
        <v>140</v>
      </c>
      <c r="O208" s="97">
        <f t="shared" si="60"/>
        <v>181.81818181818184</v>
      </c>
      <c r="P208" s="5">
        <f t="shared" si="61"/>
        <v>1.0149999999999999</v>
      </c>
      <c r="R208" s="96">
        <f t="shared" si="62"/>
        <v>4.1130282101122333</v>
      </c>
      <c r="S208" s="95">
        <f t="shared" si="63"/>
        <v>0.97944128726531177</v>
      </c>
      <c r="T208" s="96">
        <f t="shared" si="64"/>
        <v>60.099071555555561</v>
      </c>
      <c r="U208" s="97"/>
      <c r="V208" s="97">
        <f t="shared" si="68"/>
        <v>52.347631765064797</v>
      </c>
      <c r="W208" s="96">
        <f t="shared" si="58"/>
        <v>58.863512007823424</v>
      </c>
      <c r="X208" s="96">
        <f t="shared" si="71"/>
        <v>0.7949480621470455</v>
      </c>
      <c r="Y208" s="96">
        <f t="shared" si="65"/>
        <v>1.0585182568773068</v>
      </c>
      <c r="Z208" s="96">
        <f t="shared" si="69"/>
        <v>275.03290443520171</v>
      </c>
      <c r="AA208" s="97">
        <f t="shared" si="72"/>
        <v>131.52709556479843</v>
      </c>
      <c r="AB208" s="97">
        <f t="shared" si="73"/>
        <v>281.52709556479891</v>
      </c>
      <c r="AC208" s="97">
        <f t="shared" si="74"/>
        <v>2914.1099916713629</v>
      </c>
      <c r="AD208" s="96"/>
      <c r="AE208" s="105">
        <f t="shared" si="66"/>
        <v>5.0329044352017149</v>
      </c>
    </row>
    <row r="209" spans="5:31" x14ac:dyDescent="0.35">
      <c r="E209" s="100">
        <f t="shared" si="57"/>
        <v>1.1437500000000225</v>
      </c>
      <c r="F209" s="5">
        <v>20</v>
      </c>
      <c r="G209" s="5">
        <f t="shared" si="70"/>
        <v>140</v>
      </c>
      <c r="H209" s="106">
        <f t="shared" si="70"/>
        <v>3.8194444444444443E-3</v>
      </c>
      <c r="I209" s="110">
        <f t="shared" si="67"/>
        <v>1.7687499999999998E-2</v>
      </c>
      <c r="J209" s="5">
        <v>1.05</v>
      </c>
      <c r="K209" s="5">
        <v>0</v>
      </c>
      <c r="L209" s="5">
        <v>0</v>
      </c>
      <c r="N209" s="5">
        <f t="shared" si="59"/>
        <v>140</v>
      </c>
      <c r="O209" s="97">
        <f t="shared" si="60"/>
        <v>181.81818181818184</v>
      </c>
      <c r="P209" s="5">
        <f t="shared" si="61"/>
        <v>1.0149999999999999</v>
      </c>
      <c r="R209" s="96">
        <f t="shared" si="62"/>
        <v>4.1130282101122333</v>
      </c>
      <c r="S209" s="95">
        <f t="shared" si="63"/>
        <v>0.97926575283889994</v>
      </c>
      <c r="T209" s="96">
        <f t="shared" si="64"/>
        <v>60.099071555555561</v>
      </c>
      <c r="U209" s="97"/>
      <c r="V209" s="97">
        <f t="shared" si="68"/>
        <v>52.347631765064797</v>
      </c>
      <c r="W209" s="96">
        <f t="shared" si="58"/>
        <v>58.852962551770034</v>
      </c>
      <c r="X209" s="96">
        <f t="shared" si="71"/>
        <v>0.79416698314994005</v>
      </c>
      <c r="Y209" s="96">
        <f t="shared" si="65"/>
        <v>1.049622335783444</v>
      </c>
      <c r="Z209" s="96">
        <f t="shared" si="69"/>
        <v>276.08252677098517</v>
      </c>
      <c r="AA209" s="97">
        <f t="shared" si="72"/>
        <v>130.47747322901498</v>
      </c>
      <c r="AB209" s="97">
        <f t="shared" si="73"/>
        <v>280.47747322901546</v>
      </c>
      <c r="AC209" s="97">
        <f t="shared" si="74"/>
        <v>2928.1761873099313</v>
      </c>
      <c r="AD209" s="96"/>
      <c r="AE209" s="105">
        <f t="shared" si="66"/>
        <v>6.0825267709851687</v>
      </c>
    </row>
    <row r="210" spans="5:31" x14ac:dyDescent="0.35">
      <c r="E210" s="100">
        <f t="shared" si="57"/>
        <v>1.144444444444467</v>
      </c>
      <c r="F210" s="5">
        <v>20</v>
      </c>
      <c r="G210" s="5">
        <f t="shared" si="70"/>
        <v>140</v>
      </c>
      <c r="H210" s="106">
        <f t="shared" si="70"/>
        <v>3.8194444444444443E-3</v>
      </c>
      <c r="I210" s="110">
        <f t="shared" si="67"/>
        <v>1.7687499999999998E-2</v>
      </c>
      <c r="J210" s="5">
        <v>1.05</v>
      </c>
      <c r="K210" s="5">
        <v>0</v>
      </c>
      <c r="L210" s="5">
        <v>0</v>
      </c>
      <c r="N210" s="5">
        <f t="shared" si="59"/>
        <v>140</v>
      </c>
      <c r="O210" s="97">
        <f t="shared" si="60"/>
        <v>181.81818181818184</v>
      </c>
      <c r="P210" s="5">
        <f t="shared" si="61"/>
        <v>1.0149999999999999</v>
      </c>
      <c r="R210" s="96">
        <f t="shared" si="62"/>
        <v>4.1130282101122333</v>
      </c>
      <c r="S210" s="95">
        <f t="shared" si="63"/>
        <v>0.97909169362597326</v>
      </c>
      <c r="T210" s="96">
        <f t="shared" si="64"/>
        <v>60.099071555555561</v>
      </c>
      <c r="U210" s="97"/>
      <c r="V210" s="97">
        <f t="shared" si="68"/>
        <v>52.347631765064797</v>
      </c>
      <c r="W210" s="96">
        <f t="shared" si="58"/>
        <v>58.84250175467745</v>
      </c>
      <c r="X210" s="96">
        <f t="shared" si="71"/>
        <v>0.79339246843935607</v>
      </c>
      <c r="Y210" s="96">
        <f t="shared" si="65"/>
        <v>1.0408042590940283</v>
      </c>
      <c r="Z210" s="96">
        <f t="shared" si="69"/>
        <v>277.12333103007921</v>
      </c>
      <c r="AA210" s="97">
        <f t="shared" si="72"/>
        <v>129.43666896992096</v>
      </c>
      <c r="AB210" s="97">
        <f t="shared" si="73"/>
        <v>279.43666896992141</v>
      </c>
      <c r="AC210" s="97">
        <f t="shared" si="74"/>
        <v>2942.23988275799</v>
      </c>
      <c r="AD210" s="96"/>
      <c r="AE210" s="105">
        <f t="shared" si="66"/>
        <v>7.1233310300792141</v>
      </c>
    </row>
    <row r="211" spans="5:31" x14ac:dyDescent="0.35">
      <c r="E211" s="100">
        <f t="shared" si="57"/>
        <v>1.1451388888889116</v>
      </c>
      <c r="F211" s="5">
        <v>20</v>
      </c>
      <c r="G211" s="5">
        <f t="shared" si="70"/>
        <v>140</v>
      </c>
      <c r="H211" s="106">
        <f t="shared" si="70"/>
        <v>3.8194444444444443E-3</v>
      </c>
      <c r="I211" s="110">
        <f t="shared" si="67"/>
        <v>1.7687499999999998E-2</v>
      </c>
      <c r="J211" s="5">
        <v>1.05</v>
      </c>
      <c r="K211" s="5">
        <v>0</v>
      </c>
      <c r="L211" s="5">
        <v>0</v>
      </c>
      <c r="N211" s="5">
        <f t="shared" si="59"/>
        <v>140</v>
      </c>
      <c r="O211" s="97">
        <f t="shared" si="60"/>
        <v>181.81818181818184</v>
      </c>
      <c r="P211" s="5">
        <f t="shared" si="61"/>
        <v>1.0149999999999999</v>
      </c>
      <c r="R211" s="96">
        <f t="shared" si="62"/>
        <v>4.1130282101122333</v>
      </c>
      <c r="S211" s="95">
        <f t="shared" si="63"/>
        <v>0.97891909671756838</v>
      </c>
      <c r="T211" s="96">
        <f t="shared" si="64"/>
        <v>60.099071555555561</v>
      </c>
      <c r="U211" s="97"/>
      <c r="V211" s="97">
        <f t="shared" si="68"/>
        <v>52.347631765064797</v>
      </c>
      <c r="W211" s="96">
        <f t="shared" si="58"/>
        <v>58.832128840728956</v>
      </c>
      <c r="X211" s="96">
        <f t="shared" si="71"/>
        <v>0.79262446057402691</v>
      </c>
      <c r="Y211" s="96">
        <f t="shared" si="65"/>
        <v>1.0320632951314721</v>
      </c>
      <c r="Z211" s="96">
        <f t="shared" si="69"/>
        <v>278.15539432521069</v>
      </c>
      <c r="AA211" s="97">
        <f t="shared" si="72"/>
        <v>128.40460567478948</v>
      </c>
      <c r="AB211" s="97">
        <f t="shared" si="73"/>
        <v>278.40460567478993</v>
      </c>
      <c r="AC211" s="97">
        <f t="shared" si="74"/>
        <v>2956.3010990201146</v>
      </c>
      <c r="AD211" s="96"/>
      <c r="AE211" s="105">
        <f t="shared" si="66"/>
        <v>8.1553943252106933</v>
      </c>
    </row>
    <row r="212" spans="5:31" x14ac:dyDescent="0.35">
      <c r="E212" s="100">
        <f t="shared" si="57"/>
        <v>1.1458333333333561</v>
      </c>
      <c r="F212" s="5">
        <v>20</v>
      </c>
      <c r="G212" s="5">
        <f t="shared" si="70"/>
        <v>140</v>
      </c>
      <c r="H212" s="106">
        <f t="shared" si="70"/>
        <v>3.8194444444444443E-3</v>
      </c>
      <c r="I212" s="110">
        <f t="shared" si="67"/>
        <v>1.7687499999999998E-2</v>
      </c>
      <c r="J212" s="5">
        <v>1.05</v>
      </c>
      <c r="K212" s="5">
        <v>0</v>
      </c>
      <c r="L212" s="5">
        <v>0</v>
      </c>
      <c r="N212" s="5">
        <f t="shared" si="59"/>
        <v>140</v>
      </c>
      <c r="O212" s="97">
        <f t="shared" si="60"/>
        <v>181.81818181818184</v>
      </c>
      <c r="P212" s="5">
        <f t="shared" si="61"/>
        <v>1.0149999999999999</v>
      </c>
      <c r="R212" s="96">
        <f t="shared" si="62"/>
        <v>4.1130282101122333</v>
      </c>
      <c r="S212" s="95">
        <f t="shared" si="63"/>
        <v>0.97874794932605713</v>
      </c>
      <c r="T212" s="96">
        <f t="shared" si="64"/>
        <v>60.099071555555561</v>
      </c>
      <c r="U212" s="97"/>
      <c r="V212" s="97">
        <f t="shared" si="68"/>
        <v>52.347631765064797</v>
      </c>
      <c r="W212" s="96">
        <f t="shared" si="58"/>
        <v>58.821843041399973</v>
      </c>
      <c r="X212" s="96">
        <f t="shared" si="71"/>
        <v>0.79186290265258985</v>
      </c>
      <c r="Y212" s="96">
        <f t="shared" si="65"/>
        <v>1.0233987199162968</v>
      </c>
      <c r="Z212" s="96">
        <f t="shared" si="69"/>
        <v>279.17879304512701</v>
      </c>
      <c r="AA212" s="97">
        <f t="shared" si="72"/>
        <v>127.38120695487318</v>
      </c>
      <c r="AB212" s="97">
        <f t="shared" si="73"/>
        <v>277.38120695487362</v>
      </c>
      <c r="AC212" s="97">
        <f t="shared" si="74"/>
        <v>2970.3598569171986</v>
      </c>
      <c r="AD212" s="96"/>
      <c r="AE212" s="105">
        <f t="shared" si="66"/>
        <v>9.1787930451270086</v>
      </c>
    </row>
    <row r="213" spans="5:31" x14ac:dyDescent="0.35">
      <c r="E213" s="100">
        <f t="shared" si="57"/>
        <v>1.1465277777778007</v>
      </c>
      <c r="F213" s="5">
        <v>20</v>
      </c>
      <c r="G213" s="5">
        <f t="shared" si="70"/>
        <v>140</v>
      </c>
      <c r="H213" s="106">
        <f t="shared" si="70"/>
        <v>3.8194444444444443E-3</v>
      </c>
      <c r="I213" s="110">
        <f t="shared" si="67"/>
        <v>1.7687499999999998E-2</v>
      </c>
      <c r="J213" s="5">
        <v>1.05</v>
      </c>
      <c r="K213" s="5">
        <v>0</v>
      </c>
      <c r="L213" s="5">
        <v>0</v>
      </c>
      <c r="N213" s="5">
        <f t="shared" si="59"/>
        <v>140</v>
      </c>
      <c r="O213" s="97">
        <f t="shared" si="60"/>
        <v>181.81818181818184</v>
      </c>
      <c r="P213" s="5">
        <f t="shared" si="61"/>
        <v>1.0149999999999999</v>
      </c>
      <c r="R213" s="96">
        <f t="shared" si="62"/>
        <v>4.1130282101122333</v>
      </c>
      <c r="S213" s="95">
        <f t="shared" si="63"/>
        <v>0.97857823878386874</v>
      </c>
      <c r="T213" s="96">
        <f t="shared" si="64"/>
        <v>60.099071555555561</v>
      </c>
      <c r="U213" s="97"/>
      <c r="V213" s="97">
        <f t="shared" si="68"/>
        <v>52.347631765064797</v>
      </c>
      <c r="W213" s="96">
        <f t="shared" si="58"/>
        <v>58.811643595381263</v>
      </c>
      <c r="X213" s="96">
        <f t="shared" si="71"/>
        <v>0.79110773830790548</v>
      </c>
      <c r="Y213" s="96">
        <f t="shared" si="65"/>
        <v>1.0148098170730688</v>
      </c>
      <c r="Z213" s="96">
        <f t="shared" si="69"/>
        <v>280.19360286220007</v>
      </c>
      <c r="AA213" s="97">
        <f t="shared" si="72"/>
        <v>126.36639713780011</v>
      </c>
      <c r="AB213" s="97">
        <f t="shared" si="73"/>
        <v>276.36639713780056</v>
      </c>
      <c r="AC213" s="97">
        <f t="shared" si="74"/>
        <v>2984.4161770881788</v>
      </c>
      <c r="AD213" s="96"/>
      <c r="AE213" s="105">
        <f t="shared" si="66"/>
        <v>10.193602862200066</v>
      </c>
    </row>
    <row r="214" spans="5:31" x14ac:dyDescent="0.35">
      <c r="E214" s="100">
        <f t="shared" si="57"/>
        <v>1.1472222222222452</v>
      </c>
      <c r="F214" s="5">
        <v>20</v>
      </c>
      <c r="G214" s="5">
        <f t="shared" si="70"/>
        <v>140</v>
      </c>
      <c r="H214" s="106">
        <f t="shared" si="70"/>
        <v>3.8194444444444443E-3</v>
      </c>
      <c r="I214" s="110">
        <f t="shared" si="67"/>
        <v>1.7687499999999998E-2</v>
      </c>
      <c r="J214" s="5">
        <v>1.05</v>
      </c>
      <c r="K214" s="5">
        <v>0</v>
      </c>
      <c r="L214" s="5">
        <v>0</v>
      </c>
      <c r="N214" s="5">
        <f t="shared" si="59"/>
        <v>140</v>
      </c>
      <c r="O214" s="97">
        <f t="shared" si="60"/>
        <v>181.81818181818184</v>
      </c>
      <c r="P214" s="5">
        <f t="shared" si="61"/>
        <v>1.0149999999999999</v>
      </c>
      <c r="R214" s="96">
        <f t="shared" si="62"/>
        <v>4.1130282101122333</v>
      </c>
      <c r="S214" s="95">
        <f t="shared" si="63"/>
        <v>0.97840995254222884</v>
      </c>
      <c r="T214" s="96">
        <f t="shared" si="64"/>
        <v>60.099071555555561</v>
      </c>
      <c r="U214" s="97"/>
      <c r="V214" s="97">
        <f t="shared" si="68"/>
        <v>52.347631765064797</v>
      </c>
      <c r="W214" s="96">
        <f t="shared" si="58"/>
        <v>58.801529748503135</v>
      </c>
      <c r="X214" s="96">
        <f t="shared" si="71"/>
        <v>0.79035891170144656</v>
      </c>
      <c r="Y214" s="96">
        <f t="shared" si="65"/>
        <v>1.0062958777376858</v>
      </c>
      <c r="Z214" s="96">
        <f t="shared" si="69"/>
        <v>281.19989873993774</v>
      </c>
      <c r="AA214" s="97">
        <f t="shared" si="72"/>
        <v>125.36010126006242</v>
      </c>
      <c r="AB214" s="97">
        <f t="shared" si="73"/>
        <v>275.36010126006289</v>
      </c>
      <c r="AC214" s="97">
        <f t="shared" si="74"/>
        <v>2998.4700799917405</v>
      </c>
      <c r="AD214" s="96"/>
      <c r="AE214" s="105">
        <f t="shared" si="66"/>
        <v>11.199898739937737</v>
      </c>
    </row>
    <row r="215" spans="5:31" x14ac:dyDescent="0.35">
      <c r="E215" s="100">
        <f t="shared" si="57"/>
        <v>1.1479166666666898</v>
      </c>
      <c r="F215" s="5">
        <v>20</v>
      </c>
      <c r="G215" s="5">
        <f t="shared" si="70"/>
        <v>140</v>
      </c>
      <c r="H215" s="106">
        <f t="shared" si="70"/>
        <v>3.8194444444444443E-3</v>
      </c>
      <c r="I215" s="110">
        <f t="shared" si="67"/>
        <v>1.7687499999999998E-2</v>
      </c>
      <c r="J215" s="5">
        <v>1.05</v>
      </c>
      <c r="K215" s="5">
        <v>0</v>
      </c>
      <c r="L215" s="5">
        <v>0</v>
      </c>
      <c r="N215" s="5">
        <f t="shared" si="59"/>
        <v>140</v>
      </c>
      <c r="O215" s="97">
        <f t="shared" si="60"/>
        <v>181.81818181818184</v>
      </c>
      <c r="P215" s="5">
        <f t="shared" si="61"/>
        <v>1.0149999999999999</v>
      </c>
      <c r="R215" s="96">
        <f t="shared" si="62"/>
        <v>4.1130282101122333</v>
      </c>
      <c r="S215" s="95">
        <f t="shared" si="63"/>
        <v>0.97824307816991507</v>
      </c>
      <c r="T215" s="96">
        <f t="shared" si="64"/>
        <v>60.099071555555561</v>
      </c>
      <c r="U215" s="97"/>
      <c r="V215" s="97">
        <f t="shared" si="68"/>
        <v>52.347631765064797</v>
      </c>
      <c r="W215" s="96">
        <f t="shared" si="58"/>
        <v>58.791500753660657</v>
      </c>
      <c r="X215" s="96">
        <f t="shared" si="71"/>
        <v>0.78961636751775588</v>
      </c>
      <c r="Y215" s="96">
        <f t="shared" si="65"/>
        <v>0.99785620046599943</v>
      </c>
      <c r="Z215" s="96">
        <f t="shared" si="69"/>
        <v>282.19775494040374</v>
      </c>
      <c r="AA215" s="97">
        <f t="shared" si="72"/>
        <v>124.36224505959642</v>
      </c>
      <c r="AB215" s="97">
        <f t="shared" si="73"/>
        <v>274.36224505959689</v>
      </c>
      <c r="AC215" s="97">
        <f t="shared" si="74"/>
        <v>3012.5215859080072</v>
      </c>
      <c r="AD215" s="96"/>
      <c r="AE215" s="105">
        <f t="shared" si="66"/>
        <v>12.19775494040374</v>
      </c>
    </row>
    <row r="216" spans="5:31" x14ac:dyDescent="0.35">
      <c r="E216" s="100">
        <f t="shared" si="57"/>
        <v>1.1486111111111343</v>
      </c>
      <c r="F216" s="5">
        <v>20</v>
      </c>
      <c r="G216" s="5">
        <f t="shared" si="70"/>
        <v>140</v>
      </c>
      <c r="H216" s="106">
        <f t="shared" si="70"/>
        <v>3.8194444444444443E-3</v>
      </c>
      <c r="I216" s="110">
        <f t="shared" si="67"/>
        <v>1.7687499999999998E-2</v>
      </c>
      <c r="J216" s="5">
        <v>1.05</v>
      </c>
      <c r="K216" s="5">
        <v>0</v>
      </c>
      <c r="L216" s="5">
        <v>0</v>
      </c>
      <c r="N216" s="5">
        <f t="shared" si="59"/>
        <v>140</v>
      </c>
      <c r="O216" s="97">
        <f t="shared" si="60"/>
        <v>181.81818181818184</v>
      </c>
      <c r="P216" s="5">
        <f t="shared" si="61"/>
        <v>1.0149999999999999</v>
      </c>
      <c r="R216" s="96">
        <f t="shared" si="62"/>
        <v>4.1130282101122333</v>
      </c>
      <c r="S216" s="95">
        <f t="shared" si="63"/>
        <v>0.97807760335202487</v>
      </c>
      <c r="T216" s="96">
        <f t="shared" si="64"/>
        <v>60.099071555555561</v>
      </c>
      <c r="U216" s="97"/>
      <c r="V216" s="97">
        <f t="shared" si="68"/>
        <v>52.347631765064797</v>
      </c>
      <c r="W216" s="96">
        <f t="shared" si="58"/>
        <v>58.781555870739631</v>
      </c>
      <c r="X216" s="96">
        <f t="shared" si="71"/>
        <v>0.7888800509589704</v>
      </c>
      <c r="Y216" s="96">
        <f t="shared" si="65"/>
        <v>0.98949009114373243</v>
      </c>
      <c r="Z216" s="96">
        <f t="shared" si="69"/>
        <v>283.18724503154749</v>
      </c>
      <c r="AA216" s="97">
        <f t="shared" si="72"/>
        <v>123.37275496845268</v>
      </c>
      <c r="AB216" s="97">
        <f t="shared" si="73"/>
        <v>273.37275496845314</v>
      </c>
      <c r="AC216" s="97">
        <f t="shared" si="74"/>
        <v>3026.5707149402106</v>
      </c>
      <c r="AD216" s="96"/>
      <c r="AE216" s="105">
        <f t="shared" si="66"/>
        <v>13.187245031547491</v>
      </c>
    </row>
    <row r="217" spans="5:31" x14ac:dyDescent="0.35">
      <c r="E217" s="100">
        <f t="shared" si="57"/>
        <v>1.1493055555555789</v>
      </c>
      <c r="F217" s="5">
        <v>20</v>
      </c>
      <c r="G217" s="5">
        <f t="shared" si="70"/>
        <v>140</v>
      </c>
      <c r="H217" s="106">
        <f t="shared" si="70"/>
        <v>3.8194444444444443E-3</v>
      </c>
      <c r="I217" s="110">
        <f t="shared" si="67"/>
        <v>1.7687499999999998E-2</v>
      </c>
      <c r="J217" s="5">
        <v>1.05</v>
      </c>
      <c r="K217" s="5">
        <v>0</v>
      </c>
      <c r="L217" s="5">
        <v>0</v>
      </c>
      <c r="N217" s="5">
        <f t="shared" si="59"/>
        <v>140</v>
      </c>
      <c r="O217" s="97">
        <f t="shared" si="60"/>
        <v>181.81818181818184</v>
      </c>
      <c r="P217" s="5">
        <f t="shared" si="61"/>
        <v>1.0149999999999999</v>
      </c>
      <c r="R217" s="96">
        <f t="shared" si="62"/>
        <v>4.1130282101122333</v>
      </c>
      <c r="S217" s="95">
        <f t="shared" si="63"/>
        <v>0.97791351588876141</v>
      </c>
      <c r="T217" s="96">
        <f t="shared" si="64"/>
        <v>60.099071555555561</v>
      </c>
      <c r="U217" s="97"/>
      <c r="V217" s="97">
        <f t="shared" si="68"/>
        <v>52.347631765064797</v>
      </c>
      <c r="W217" s="96">
        <f t="shared" si="58"/>
        <v>58.771694366543592</v>
      </c>
      <c r="X217" s="96">
        <f t="shared" si="71"/>
        <v>0.7881499077394134</v>
      </c>
      <c r="Y217" s="96">
        <f t="shared" si="65"/>
        <v>0.98119686289769381</v>
      </c>
      <c r="Z217" s="96">
        <f t="shared" si="69"/>
        <v>284.16844189444521</v>
      </c>
      <c r="AA217" s="97">
        <f t="shared" si="72"/>
        <v>122.39155810555499</v>
      </c>
      <c r="AB217" s="97">
        <f t="shared" si="73"/>
        <v>272.39155810555542</v>
      </c>
      <c r="AC217" s="97">
        <f t="shared" si="74"/>
        <v>3040.6174870163445</v>
      </c>
      <c r="AD217" s="96"/>
      <c r="AE217" s="105">
        <f t="shared" si="66"/>
        <v>14.168441894445209</v>
      </c>
    </row>
    <row r="218" spans="5:31" x14ac:dyDescent="0.35">
      <c r="E218" s="100">
        <f t="shared" si="57"/>
        <v>1.1500000000000234</v>
      </c>
      <c r="F218" s="5">
        <v>20</v>
      </c>
      <c r="G218" s="5">
        <f t="shared" si="70"/>
        <v>140</v>
      </c>
      <c r="H218" s="106">
        <f t="shared" si="70"/>
        <v>3.8194444444444443E-3</v>
      </c>
      <c r="I218" s="110">
        <f t="shared" si="67"/>
        <v>1.7687499999999998E-2</v>
      </c>
      <c r="J218" s="5">
        <v>1.05</v>
      </c>
      <c r="K218" s="5">
        <v>0</v>
      </c>
      <c r="L218" s="5">
        <v>0</v>
      </c>
      <c r="N218" s="5">
        <f t="shared" si="59"/>
        <v>140</v>
      </c>
      <c r="O218" s="97">
        <f t="shared" si="60"/>
        <v>181.81818181818184</v>
      </c>
      <c r="P218" s="5">
        <f t="shared" si="61"/>
        <v>1.0149999999999999</v>
      </c>
      <c r="R218" s="96">
        <f t="shared" si="62"/>
        <v>4.1130282101122333</v>
      </c>
      <c r="S218" s="95">
        <f t="shared" si="63"/>
        <v>0.97775080369423217</v>
      </c>
      <c r="T218" s="96">
        <f t="shared" si="64"/>
        <v>60.099071555555561</v>
      </c>
      <c r="U218" s="97"/>
      <c r="V218" s="97">
        <f t="shared" si="68"/>
        <v>52.347631765064797</v>
      </c>
      <c r="W218" s="96">
        <f t="shared" si="58"/>
        <v>58.761915514721615</v>
      </c>
      <c r="X218" s="96">
        <f t="shared" si="71"/>
        <v>0.78742588408025038</v>
      </c>
      <c r="Y218" s="96">
        <f t="shared" si="65"/>
        <v>0.97297583600824256</v>
      </c>
      <c r="Z218" s="96">
        <f t="shared" si="69"/>
        <v>285.14141773045344</v>
      </c>
      <c r="AA218" s="97">
        <f t="shared" si="72"/>
        <v>121.41858226954675</v>
      </c>
      <c r="AB218" s="97">
        <f t="shared" si="73"/>
        <v>271.41858226954719</v>
      </c>
      <c r="AC218" s="97">
        <f t="shared" si="74"/>
        <v>3054.6619218907999</v>
      </c>
      <c r="AD218" s="96"/>
      <c r="AE218" s="105">
        <f t="shared" si="66"/>
        <v>15.141417730453441</v>
      </c>
    </row>
    <row r="219" spans="5:31" x14ac:dyDescent="0.35">
      <c r="E219" s="100">
        <f t="shared" si="57"/>
        <v>1.150694444444468</v>
      </c>
      <c r="F219" s="5">
        <v>20</v>
      </c>
      <c r="G219" s="5">
        <f t="shared" si="70"/>
        <v>140</v>
      </c>
      <c r="H219" s="106">
        <f t="shared" si="70"/>
        <v>3.8194444444444443E-3</v>
      </c>
      <c r="I219" s="110">
        <f t="shared" si="67"/>
        <v>1.7687499999999998E-2</v>
      </c>
      <c r="J219" s="5">
        <v>1.05</v>
      </c>
      <c r="K219" s="5">
        <v>0</v>
      </c>
      <c r="L219" s="5">
        <v>0</v>
      </c>
      <c r="N219" s="5">
        <f t="shared" si="59"/>
        <v>140</v>
      </c>
      <c r="O219" s="97">
        <f t="shared" si="60"/>
        <v>181.81818181818184</v>
      </c>
      <c r="P219" s="5">
        <f t="shared" si="61"/>
        <v>1.0149999999999999</v>
      </c>
      <c r="R219" s="96">
        <f t="shared" si="62"/>
        <v>4.1130282101122333</v>
      </c>
      <c r="S219" s="95">
        <f t="shared" si="63"/>
        <v>0.97758945479526271</v>
      </c>
      <c r="T219" s="96">
        <f t="shared" si="64"/>
        <v>60.099071555555561</v>
      </c>
      <c r="U219" s="97"/>
      <c r="V219" s="97">
        <f t="shared" si="68"/>
        <v>52.347631765064797</v>
      </c>
      <c r="W219" s="96">
        <f t="shared" si="58"/>
        <v>58.752218595697045</v>
      </c>
      <c r="X219" s="96">
        <f t="shared" si="71"/>
        <v>0.78670792670421119</v>
      </c>
      <c r="Y219" s="96">
        <f t="shared" si="65"/>
        <v>0.96482633782301053</v>
      </c>
      <c r="Z219" s="96">
        <f t="shared" si="69"/>
        <v>286.10624406827645</v>
      </c>
      <c r="AA219" s="97">
        <f t="shared" si="72"/>
        <v>120.45375593172373</v>
      </c>
      <c r="AB219" s="97">
        <f t="shared" si="73"/>
        <v>270.45375593172417</v>
      </c>
      <c r="AC219" s="97">
        <f t="shared" si="74"/>
        <v>3068.7040391459855</v>
      </c>
      <c r="AD219" s="96"/>
      <c r="AE219" s="105">
        <f t="shared" si="66"/>
        <v>16.106244068276453</v>
      </c>
    </row>
    <row r="220" spans="5:31" x14ac:dyDescent="0.35">
      <c r="E220" s="100">
        <f t="shared" si="57"/>
        <v>1.1513888888889126</v>
      </c>
      <c r="F220" s="5">
        <v>20</v>
      </c>
      <c r="G220" s="5">
        <f t="shared" si="70"/>
        <v>140</v>
      </c>
      <c r="H220" s="106">
        <f t="shared" si="70"/>
        <v>3.8194444444444443E-3</v>
      </c>
      <c r="I220" s="110">
        <f t="shared" si="67"/>
        <v>1.7687499999999998E-2</v>
      </c>
      <c r="J220" s="5">
        <v>1.05</v>
      </c>
      <c r="K220" s="5">
        <v>0</v>
      </c>
      <c r="L220" s="5">
        <v>0</v>
      </c>
      <c r="N220" s="5">
        <f t="shared" si="59"/>
        <v>140</v>
      </c>
      <c r="O220" s="97">
        <f t="shared" si="60"/>
        <v>181.81818181818184</v>
      </c>
      <c r="P220" s="5">
        <f t="shared" si="61"/>
        <v>1.0149999999999999</v>
      </c>
      <c r="R220" s="96">
        <f t="shared" si="62"/>
        <v>4.1130282101122333</v>
      </c>
      <c r="S220" s="95">
        <f t="shared" si="63"/>
        <v>0.97742945733022479</v>
      </c>
      <c r="T220" s="96">
        <f t="shared" si="64"/>
        <v>60.099071555555561</v>
      </c>
      <c r="U220" s="97"/>
      <c r="V220" s="97">
        <f t="shared" si="68"/>
        <v>52.347631765064797</v>
      </c>
      <c r="W220" s="96">
        <f t="shared" si="58"/>
        <v>58.74260289659702</v>
      </c>
      <c r="X220" s="96">
        <f t="shared" si="71"/>
        <v>0.78599598283037486</v>
      </c>
      <c r="Y220" s="96">
        <f t="shared" si="65"/>
        <v>0.95674770267183484</v>
      </c>
      <c r="Z220" s="96">
        <f t="shared" si="69"/>
        <v>287.06299177094832</v>
      </c>
      <c r="AA220" s="97">
        <f t="shared" si="72"/>
        <v>119.4970082290519</v>
      </c>
      <c r="AB220" s="97">
        <f t="shared" si="73"/>
        <v>269.49700822905231</v>
      </c>
      <c r="AC220" s="97">
        <f t="shared" si="74"/>
        <v>3082.7438581939291</v>
      </c>
      <c r="AD220" s="96"/>
      <c r="AE220" s="105">
        <f t="shared" si="66"/>
        <v>17.062991770948315</v>
      </c>
    </row>
    <row r="221" spans="5:31" x14ac:dyDescent="0.35">
      <c r="E221" s="100">
        <f t="shared" si="57"/>
        <v>1.1520833333333571</v>
      </c>
      <c r="F221" s="5">
        <v>20</v>
      </c>
      <c r="G221" s="5">
        <f t="shared" si="70"/>
        <v>140</v>
      </c>
      <c r="H221" s="106">
        <f t="shared" si="70"/>
        <v>3.8194444444444443E-3</v>
      </c>
      <c r="I221" s="110">
        <f t="shared" si="67"/>
        <v>1.7687499999999998E-2</v>
      </c>
      <c r="J221" s="5">
        <v>1.05</v>
      </c>
      <c r="K221" s="5">
        <v>0</v>
      </c>
      <c r="L221" s="5">
        <v>0</v>
      </c>
      <c r="N221" s="5">
        <f t="shared" si="59"/>
        <v>140</v>
      </c>
      <c r="O221" s="97">
        <f t="shared" si="60"/>
        <v>181.81818181818184</v>
      </c>
      <c r="P221" s="5">
        <f t="shared" si="61"/>
        <v>1.0149999999999999</v>
      </c>
      <c r="R221" s="96">
        <f t="shared" si="62"/>
        <v>4.1130282101122333</v>
      </c>
      <c r="S221" s="95">
        <f t="shared" si="63"/>
        <v>0.97727079954787832</v>
      </c>
      <c r="T221" s="96">
        <f t="shared" si="64"/>
        <v>60.099071555555561</v>
      </c>
      <c r="U221" s="97"/>
      <c r="V221" s="97">
        <f t="shared" si="68"/>
        <v>52.347631765064797</v>
      </c>
      <c r="W221" s="96">
        <f t="shared" si="58"/>
        <v>58.733067711182933</v>
      </c>
      <c r="X221" s="96">
        <f t="shared" si="71"/>
        <v>0.78529000016901729</v>
      </c>
      <c r="Y221" s="96">
        <f t="shared" si="65"/>
        <v>0.94873927178289741</v>
      </c>
      <c r="Z221" s="96">
        <f t="shared" si="69"/>
        <v>288.01173104273118</v>
      </c>
      <c r="AA221" s="97">
        <f t="shared" si="72"/>
        <v>118.548268957269</v>
      </c>
      <c r="AB221" s="97">
        <f t="shared" si="73"/>
        <v>268.54826895726944</v>
      </c>
      <c r="AC221" s="97">
        <f t="shared" si="74"/>
        <v>3096.7813982778639</v>
      </c>
      <c r="AD221" s="96"/>
      <c r="AE221" s="105">
        <f t="shared" si="66"/>
        <v>18.011731042731185</v>
      </c>
    </row>
    <row r="222" spans="5:31" x14ac:dyDescent="0.35">
      <c r="E222" s="100">
        <f t="shared" si="57"/>
        <v>1.1527777777778017</v>
      </c>
      <c r="F222" s="5">
        <v>20</v>
      </c>
      <c r="G222" s="5">
        <f t="shared" si="70"/>
        <v>140</v>
      </c>
      <c r="H222" s="106">
        <f t="shared" si="70"/>
        <v>3.8194444444444443E-3</v>
      </c>
      <c r="I222" s="110">
        <f t="shared" si="67"/>
        <v>1.7687499999999998E-2</v>
      </c>
      <c r="J222" s="5">
        <v>1.05</v>
      </c>
      <c r="K222" s="5">
        <v>0</v>
      </c>
      <c r="L222" s="5">
        <v>0</v>
      </c>
      <c r="N222" s="5">
        <f t="shared" si="59"/>
        <v>140</v>
      </c>
      <c r="O222" s="97">
        <f t="shared" si="60"/>
        <v>181.81818181818184</v>
      </c>
      <c r="P222" s="5">
        <f t="shared" si="61"/>
        <v>1.0149999999999999</v>
      </c>
      <c r="R222" s="96">
        <f t="shared" si="62"/>
        <v>4.1130282101122333</v>
      </c>
      <c r="S222" s="95">
        <f t="shared" si="63"/>
        <v>0.97711346980622793</v>
      </c>
      <c r="T222" s="96">
        <f t="shared" si="64"/>
        <v>60.099071555555561</v>
      </c>
      <c r="U222" s="97"/>
      <c r="V222" s="97">
        <f t="shared" si="68"/>
        <v>52.347631765064797</v>
      </c>
      <c r="W222" s="96">
        <f t="shared" si="58"/>
        <v>58.723612339781674</v>
      </c>
      <c r="X222" s="96">
        <f t="shared" si="71"/>
        <v>0.78458992691652107</v>
      </c>
      <c r="Y222" s="96">
        <f t="shared" si="65"/>
        <v>0.94080039320004716</v>
      </c>
      <c r="Z222" s="96">
        <f t="shared" si="69"/>
        <v>288.95253143593123</v>
      </c>
      <c r="AA222" s="97">
        <f t="shared" si="72"/>
        <v>117.60746856406895</v>
      </c>
      <c r="AB222" s="97">
        <f t="shared" si="73"/>
        <v>267.60746856406939</v>
      </c>
      <c r="AC222" s="97">
        <f t="shared" si="74"/>
        <v>3110.8166784737964</v>
      </c>
      <c r="AD222" s="96"/>
      <c r="AE222" s="105">
        <f t="shared" si="66"/>
        <v>18.952531435931235</v>
      </c>
    </row>
    <row r="223" spans="5:31" x14ac:dyDescent="0.35">
      <c r="E223" s="100">
        <f t="shared" si="57"/>
        <v>1.1534722222222462</v>
      </c>
      <c r="F223" s="5">
        <v>20</v>
      </c>
      <c r="G223" s="5">
        <f t="shared" si="70"/>
        <v>140</v>
      </c>
      <c r="H223" s="106">
        <f t="shared" si="70"/>
        <v>3.8194444444444443E-3</v>
      </c>
      <c r="I223" s="110">
        <f t="shared" si="67"/>
        <v>1.7687499999999998E-2</v>
      </c>
      <c r="J223" s="5">
        <v>1.05</v>
      </c>
      <c r="K223" s="5">
        <v>0</v>
      </c>
      <c r="L223" s="5">
        <v>0</v>
      </c>
      <c r="N223" s="5">
        <f t="shared" si="59"/>
        <v>140</v>
      </c>
      <c r="O223" s="97">
        <f t="shared" si="60"/>
        <v>181.81818181818184</v>
      </c>
      <c r="P223" s="5">
        <f t="shared" si="61"/>
        <v>1.0149999999999999</v>
      </c>
      <c r="R223" s="96">
        <f t="shared" si="62"/>
        <v>4.1130282101122333</v>
      </c>
      <c r="S223" s="95">
        <f t="shared" si="63"/>
        <v>0.97695745657139199</v>
      </c>
      <c r="T223" s="96">
        <f t="shared" si="64"/>
        <v>60.099071555555561</v>
      </c>
      <c r="U223" s="97"/>
      <c r="V223" s="97">
        <f t="shared" si="68"/>
        <v>52.347631765064797</v>
      </c>
      <c r="W223" s="96">
        <f t="shared" si="58"/>
        <v>58.71423608921765</v>
      </c>
      <c r="X223" s="96">
        <f t="shared" si="71"/>
        <v>0.78389571175034622</v>
      </c>
      <c r="Y223" s="96">
        <f t="shared" si="65"/>
        <v>0.93293042170128437</v>
      </c>
      <c r="Z223" s="96">
        <f t="shared" si="69"/>
        <v>289.88546185763249</v>
      </c>
      <c r="AA223" s="97">
        <f t="shared" si="72"/>
        <v>116.67453814236767</v>
      </c>
      <c r="AB223" s="97">
        <f t="shared" si="73"/>
        <v>266.67453814236814</v>
      </c>
      <c r="AC223" s="97">
        <f t="shared" si="74"/>
        <v>3124.8497176920605</v>
      </c>
      <c r="AD223" s="96"/>
      <c r="AE223" s="105">
        <f t="shared" si="66"/>
        <v>19.885461857632492</v>
      </c>
    </row>
    <row r="224" spans="5:31" x14ac:dyDescent="0.35">
      <c r="E224" s="100">
        <f t="shared" si="57"/>
        <v>1.1541666666666908</v>
      </c>
      <c r="F224" s="5">
        <v>20</v>
      </c>
      <c r="G224" s="5">
        <f t="shared" si="70"/>
        <v>140</v>
      </c>
      <c r="H224" s="106">
        <f t="shared" si="70"/>
        <v>3.8194444444444443E-3</v>
      </c>
      <c r="I224" s="110">
        <f t="shared" si="67"/>
        <v>1.7687499999999998E-2</v>
      </c>
      <c r="J224" s="5">
        <v>1.05</v>
      </c>
      <c r="K224" s="5">
        <v>0</v>
      </c>
      <c r="L224" s="5">
        <v>0</v>
      </c>
      <c r="N224" s="5">
        <f t="shared" si="59"/>
        <v>140</v>
      </c>
      <c r="O224" s="97">
        <f t="shared" si="60"/>
        <v>181.81818181818184</v>
      </c>
      <c r="P224" s="5">
        <f t="shared" si="61"/>
        <v>1.0149999999999999</v>
      </c>
      <c r="R224" s="96">
        <f t="shared" si="62"/>
        <v>4.1130282101122333</v>
      </c>
      <c r="S224" s="95">
        <f t="shared" si="63"/>
        <v>0.97680274841648651</v>
      </c>
      <c r="T224" s="96">
        <f t="shared" si="64"/>
        <v>60.099071555555561</v>
      </c>
      <c r="U224" s="97"/>
      <c r="V224" s="97">
        <f t="shared" si="68"/>
        <v>52.347631765064797</v>
      </c>
      <c r="W224" s="96">
        <f t="shared" si="58"/>
        <v>58.704938272745757</v>
      </c>
      <c r="X224" s="96">
        <f t="shared" si="71"/>
        <v>0.78320730382406145</v>
      </c>
      <c r="Y224" s="96">
        <f t="shared" si="65"/>
        <v>0.92512871871839619</v>
      </c>
      <c r="Z224" s="96">
        <f t="shared" si="69"/>
        <v>290.81059057635088</v>
      </c>
      <c r="AA224" s="97">
        <f t="shared" si="72"/>
        <v>115.74940942364927</v>
      </c>
      <c r="AB224" s="97">
        <f t="shared" si="73"/>
        <v>265.74940942364975</v>
      </c>
      <c r="AC224" s="97">
        <f t="shared" si="74"/>
        <v>3138.8805346788545</v>
      </c>
      <c r="AD224" s="96"/>
      <c r="AE224" s="105">
        <f t="shared" si="66"/>
        <v>20.810590576350876</v>
      </c>
    </row>
    <row r="225" spans="5:31" x14ac:dyDescent="0.35">
      <c r="E225" s="100">
        <f t="shared" si="57"/>
        <v>1.1548611111111353</v>
      </c>
      <c r="F225" s="5">
        <v>20</v>
      </c>
      <c r="G225" s="5">
        <f t="shared" si="70"/>
        <v>140</v>
      </c>
      <c r="H225" s="106">
        <f t="shared" si="70"/>
        <v>3.8194444444444443E-3</v>
      </c>
      <c r="I225" s="110">
        <f t="shared" si="67"/>
        <v>1.7687499999999998E-2</v>
      </c>
      <c r="J225" s="5">
        <v>1.05</v>
      </c>
      <c r="K225" s="5">
        <v>0</v>
      </c>
      <c r="L225" s="5">
        <v>0</v>
      </c>
      <c r="N225" s="5">
        <f t="shared" si="59"/>
        <v>140</v>
      </c>
      <c r="O225" s="97">
        <f t="shared" si="60"/>
        <v>181.81818181818184</v>
      </c>
      <c r="P225" s="5">
        <f t="shared" si="61"/>
        <v>1.0149999999999999</v>
      </c>
      <c r="R225" s="96">
        <f t="shared" si="62"/>
        <v>4.1130282101122333</v>
      </c>
      <c r="S225" s="95">
        <f t="shared" si="63"/>
        <v>0.9766493340205209</v>
      </c>
      <c r="T225" s="96">
        <f t="shared" si="64"/>
        <v>60.099071555555561</v>
      </c>
      <c r="U225" s="97"/>
      <c r="V225" s="97">
        <f t="shared" si="68"/>
        <v>52.347631765064797</v>
      </c>
      <c r="W225" s="96">
        <f t="shared" si="58"/>
        <v>58.695718209984967</v>
      </c>
      <c r="X225" s="96">
        <f t="shared" si="71"/>
        <v>0.78252465276243333</v>
      </c>
      <c r="Y225" s="96">
        <f t="shared" si="65"/>
        <v>0.91739465225769812</v>
      </c>
      <c r="Z225" s="96">
        <f t="shared" si="69"/>
        <v>291.72798522860859</v>
      </c>
      <c r="AA225" s="97">
        <f t="shared" si="72"/>
        <v>114.83201477139157</v>
      </c>
      <c r="AB225" s="97">
        <f t="shared" si="73"/>
        <v>264.83201477139204</v>
      </c>
      <c r="AC225" s="97">
        <f t="shared" si="74"/>
        <v>3152.9091480177608</v>
      </c>
      <c r="AD225" s="96"/>
      <c r="AE225" s="105">
        <f t="shared" si="66"/>
        <v>21.727985228608588</v>
      </c>
    </row>
    <row r="226" spans="5:31" x14ac:dyDescent="0.35">
      <c r="E226" s="100">
        <f t="shared" si="57"/>
        <v>1.1555555555555799</v>
      </c>
      <c r="F226" s="5">
        <v>20</v>
      </c>
      <c r="G226" s="5">
        <f t="shared" si="70"/>
        <v>140</v>
      </c>
      <c r="H226" s="106">
        <f t="shared" si="70"/>
        <v>3.8194444444444443E-3</v>
      </c>
      <c r="I226" s="110">
        <f t="shared" si="67"/>
        <v>1.7687499999999998E-2</v>
      </c>
      <c r="J226" s="5">
        <v>1.05</v>
      </c>
      <c r="K226" s="5">
        <v>0</v>
      </c>
      <c r="L226" s="5">
        <v>0</v>
      </c>
      <c r="N226" s="5">
        <f t="shared" si="59"/>
        <v>140</v>
      </c>
      <c r="O226" s="97">
        <f t="shared" si="60"/>
        <v>181.81818181818184</v>
      </c>
      <c r="P226" s="5">
        <f t="shared" si="61"/>
        <v>1.0149999999999999</v>
      </c>
      <c r="R226" s="96">
        <f t="shared" si="62"/>
        <v>4.1130282101122333</v>
      </c>
      <c r="S226" s="95">
        <f t="shared" si="63"/>
        <v>0.97649720216730906</v>
      </c>
      <c r="T226" s="96">
        <f t="shared" si="64"/>
        <v>60.099071555555561</v>
      </c>
      <c r="U226" s="97"/>
      <c r="V226" s="97">
        <f t="shared" si="68"/>
        <v>52.347631765064797</v>
      </c>
      <c r="W226" s="96">
        <f t="shared" si="58"/>
        <v>58.686575226852909</v>
      </c>
      <c r="X226" s="96">
        <f t="shared" si="71"/>
        <v>0.78184770865657605</v>
      </c>
      <c r="Y226" s="96">
        <f t="shared" si="65"/>
        <v>0.9097275968219114</v>
      </c>
      <c r="Z226" s="96">
        <f t="shared" si="69"/>
        <v>292.63771282543053</v>
      </c>
      <c r="AA226" s="97">
        <f t="shared" si="72"/>
        <v>113.92228717456966</v>
      </c>
      <c r="AB226" s="97">
        <f t="shared" si="73"/>
        <v>263.9222871745701</v>
      </c>
      <c r="AC226" s="97">
        <f t="shared" si="74"/>
        <v>3166.9355761312536</v>
      </c>
      <c r="AD226" s="96"/>
      <c r="AE226" s="105">
        <f t="shared" si="66"/>
        <v>22.637712825430526</v>
      </c>
    </row>
    <row r="227" spans="5:31" x14ac:dyDescent="0.35">
      <c r="E227" s="100">
        <f t="shared" si="57"/>
        <v>1.1562500000000244</v>
      </c>
      <c r="F227" s="5">
        <v>20</v>
      </c>
      <c r="G227" s="5">
        <f t="shared" si="70"/>
        <v>140</v>
      </c>
      <c r="H227" s="106">
        <f t="shared" si="70"/>
        <v>3.8194444444444443E-3</v>
      </c>
      <c r="I227" s="110">
        <f t="shared" si="67"/>
        <v>1.7687499999999998E-2</v>
      </c>
      <c r="J227" s="5">
        <v>1.05</v>
      </c>
      <c r="K227" s="5">
        <v>0</v>
      </c>
      <c r="L227" s="5">
        <v>0</v>
      </c>
      <c r="N227" s="5">
        <f t="shared" si="59"/>
        <v>140</v>
      </c>
      <c r="O227" s="97">
        <f t="shared" si="60"/>
        <v>181.81818181818184</v>
      </c>
      <c r="P227" s="5">
        <f t="shared" si="61"/>
        <v>1.0149999999999999</v>
      </c>
      <c r="R227" s="96">
        <f t="shared" si="62"/>
        <v>4.1130282101122333</v>
      </c>
      <c r="S227" s="95">
        <f t="shared" si="63"/>
        <v>0.97634634174439094</v>
      </c>
      <c r="T227" s="96">
        <f t="shared" si="64"/>
        <v>60.099071555555561</v>
      </c>
      <c r="U227" s="97"/>
      <c r="V227" s="97">
        <f t="shared" si="68"/>
        <v>52.347631765064797</v>
      </c>
      <c r="W227" s="96">
        <f t="shared" si="58"/>
        <v>58.677508655501057</v>
      </c>
      <c r="X227" s="96">
        <f t="shared" si="71"/>
        <v>0.78117642205915727</v>
      </c>
      <c r="Y227" s="96">
        <f t="shared" si="65"/>
        <v>0.90212693333310801</v>
      </c>
      <c r="Z227" s="96">
        <f t="shared" si="69"/>
        <v>293.53983975876366</v>
      </c>
      <c r="AA227" s="97">
        <f t="shared" si="72"/>
        <v>113.02016024123655</v>
      </c>
      <c r="AB227" s="97">
        <f t="shared" si="73"/>
        <v>263.02016024123697</v>
      </c>
      <c r="AC227" s="97">
        <f t="shared" si="74"/>
        <v>3180.9598372821861</v>
      </c>
      <c r="AD227" s="96"/>
      <c r="AE227" s="105">
        <f t="shared" si="66"/>
        <v>23.539839758763662</v>
      </c>
    </row>
    <row r="228" spans="5:31" x14ac:dyDescent="0.35">
      <c r="E228" s="100">
        <f t="shared" si="57"/>
        <v>1.156944444444469</v>
      </c>
      <c r="F228" s="5">
        <v>20</v>
      </c>
      <c r="G228" s="5">
        <f t="shared" si="70"/>
        <v>140</v>
      </c>
      <c r="H228" s="106">
        <f t="shared" si="70"/>
        <v>3.8194444444444443E-3</v>
      </c>
      <c r="I228" s="110">
        <f t="shared" si="67"/>
        <v>1.7687499999999998E-2</v>
      </c>
      <c r="J228" s="5">
        <v>1.05</v>
      </c>
      <c r="K228" s="5">
        <v>0</v>
      </c>
      <c r="L228" s="5">
        <v>0</v>
      </c>
      <c r="N228" s="5">
        <f t="shared" si="59"/>
        <v>140</v>
      </c>
      <c r="O228" s="97">
        <f t="shared" si="60"/>
        <v>181.81818181818184</v>
      </c>
      <c r="P228" s="5">
        <f t="shared" si="61"/>
        <v>1.0149999999999999</v>
      </c>
      <c r="R228" s="96">
        <f t="shared" si="62"/>
        <v>4.1130282101122333</v>
      </c>
      <c r="S228" s="95">
        <f t="shared" si="63"/>
        <v>0.97619674174196835</v>
      </c>
      <c r="T228" s="96">
        <f t="shared" si="64"/>
        <v>60.099071555555561</v>
      </c>
      <c r="U228" s="97"/>
      <c r="V228" s="97">
        <f t="shared" si="68"/>
        <v>52.347631765064797</v>
      </c>
      <c r="W228" s="96">
        <f t="shared" si="58"/>
        <v>58.66851783425075</v>
      </c>
      <c r="X228" s="96">
        <f t="shared" si="71"/>
        <v>0.78051074397966114</v>
      </c>
      <c r="Y228" s="96">
        <f t="shared" si="65"/>
        <v>0.89459204905673262</v>
      </c>
      <c r="Z228" s="96">
        <f t="shared" si="69"/>
        <v>294.43443180782037</v>
      </c>
      <c r="AA228" s="97">
        <f t="shared" si="72"/>
        <v>112.12556819217983</v>
      </c>
      <c r="AB228" s="97">
        <f t="shared" si="73"/>
        <v>262.12556819218025</v>
      </c>
      <c r="AC228" s="97">
        <f t="shared" si="74"/>
        <v>3194.9819495752672</v>
      </c>
      <c r="AD228" s="96"/>
      <c r="AE228" s="105">
        <f t="shared" si="66"/>
        <v>24.434431807820374</v>
      </c>
    </row>
    <row r="229" spans="5:31" x14ac:dyDescent="0.35">
      <c r="E229" s="100">
        <f t="shared" si="57"/>
        <v>1.1576388888889135</v>
      </c>
      <c r="F229" s="5">
        <v>20</v>
      </c>
      <c r="G229" s="5">
        <f t="shared" si="70"/>
        <v>140</v>
      </c>
      <c r="H229" s="106">
        <f t="shared" si="70"/>
        <v>3.8194444444444443E-3</v>
      </c>
      <c r="I229" s="110">
        <f t="shared" si="67"/>
        <v>1.7687499999999998E-2</v>
      </c>
      <c r="J229" s="5">
        <v>1.05</v>
      </c>
      <c r="K229" s="5">
        <v>0</v>
      </c>
      <c r="L229" s="5">
        <v>0</v>
      </c>
      <c r="N229" s="5">
        <f t="shared" si="59"/>
        <v>140</v>
      </c>
      <c r="O229" s="97">
        <f t="shared" si="60"/>
        <v>181.81818181818184</v>
      </c>
      <c r="P229" s="5">
        <f t="shared" si="61"/>
        <v>1.0149999999999999</v>
      </c>
      <c r="R229" s="96">
        <f t="shared" si="62"/>
        <v>4.1130282101122333</v>
      </c>
      <c r="S229" s="95">
        <f t="shared" si="63"/>
        <v>0.97604839125185316</v>
      </c>
      <c r="T229" s="96">
        <f t="shared" si="64"/>
        <v>60.099071555555561</v>
      </c>
      <c r="U229" s="97"/>
      <c r="V229" s="97">
        <f t="shared" si="68"/>
        <v>52.347631765064797</v>
      </c>
      <c r="W229" s="96">
        <f t="shared" si="58"/>
        <v>58.659602107530013</v>
      </c>
      <c r="X229" s="96">
        <f t="shared" si="71"/>
        <v>0.77985062587970788</v>
      </c>
      <c r="Y229" s="96">
        <f t="shared" si="65"/>
        <v>0.88712233752668657</v>
      </c>
      <c r="Z229" s="96">
        <f t="shared" si="69"/>
        <v>295.32155414534708</v>
      </c>
      <c r="AA229" s="97">
        <f t="shared" si="72"/>
        <v>111.23844585465314</v>
      </c>
      <c r="AB229" s="97">
        <f t="shared" si="73"/>
        <v>261.23844585465355</v>
      </c>
      <c r="AC229" s="97">
        <f t="shared" si="74"/>
        <v>3209.00193095852</v>
      </c>
      <c r="AD229" s="96"/>
      <c r="AE229" s="105">
        <f t="shared" si="66"/>
        <v>25.321554145347079</v>
      </c>
    </row>
    <row r="230" spans="5:31" x14ac:dyDescent="0.35">
      <c r="E230" s="100">
        <f t="shared" si="57"/>
        <v>1.1583333333333581</v>
      </c>
      <c r="F230" s="5">
        <v>20</v>
      </c>
      <c r="G230" s="5">
        <f t="shared" si="70"/>
        <v>140</v>
      </c>
      <c r="H230" s="106">
        <f t="shared" si="70"/>
        <v>3.8194444444444443E-3</v>
      </c>
      <c r="I230" s="110">
        <f t="shared" si="67"/>
        <v>1.7687499999999998E-2</v>
      </c>
      <c r="J230" s="5">
        <v>1.05</v>
      </c>
      <c r="K230" s="5">
        <v>0</v>
      </c>
      <c r="L230" s="5">
        <v>0</v>
      </c>
      <c r="N230" s="5">
        <f t="shared" si="59"/>
        <v>140</v>
      </c>
      <c r="O230" s="97">
        <f t="shared" si="60"/>
        <v>181.81818181818184</v>
      </c>
      <c r="P230" s="5">
        <f t="shared" si="61"/>
        <v>1.0149999999999999</v>
      </c>
      <c r="R230" s="96">
        <f t="shared" si="62"/>
        <v>4.1130282101122333</v>
      </c>
      <c r="S230" s="95">
        <f t="shared" si="63"/>
        <v>0.97590127946642746</v>
      </c>
      <c r="T230" s="96">
        <f t="shared" si="64"/>
        <v>60.099071555555561</v>
      </c>
      <c r="U230" s="97"/>
      <c r="V230" s="97">
        <f t="shared" si="68"/>
        <v>52.347631765064797</v>
      </c>
      <c r="W230" s="96">
        <f t="shared" si="58"/>
        <v>58.650760825811048</v>
      </c>
      <c r="X230" s="96">
        <f t="shared" si="71"/>
        <v>0.77919601966842789</v>
      </c>
      <c r="Y230" s="96">
        <f t="shared" si="65"/>
        <v>0.87971719847143826</v>
      </c>
      <c r="Z230" s="96">
        <f t="shared" si="69"/>
        <v>296.20127134381852</v>
      </c>
      <c r="AA230" s="97">
        <f t="shared" si="72"/>
        <v>110.3587286561817</v>
      </c>
      <c r="AB230" s="97">
        <f t="shared" si="73"/>
        <v>260.35872865618211</v>
      </c>
      <c r="AC230" s="97">
        <f t="shared" si="74"/>
        <v>3223.0197992247272</v>
      </c>
      <c r="AD230" s="96"/>
      <c r="AE230" s="105">
        <f t="shared" si="66"/>
        <v>26.201271343818519</v>
      </c>
    </row>
    <row r="231" spans="5:31" x14ac:dyDescent="0.35">
      <c r="E231" s="100">
        <f t="shared" si="57"/>
        <v>1.1590277777778026</v>
      </c>
      <c r="F231" s="5">
        <v>20</v>
      </c>
      <c r="G231" s="5">
        <f t="shared" si="70"/>
        <v>140</v>
      </c>
      <c r="H231" s="106">
        <f t="shared" si="70"/>
        <v>3.8194444444444443E-3</v>
      </c>
      <c r="I231" s="110">
        <f t="shared" si="67"/>
        <v>1.7687499999999998E-2</v>
      </c>
      <c r="J231" s="5">
        <v>1.05</v>
      </c>
      <c r="K231" s="5">
        <v>0</v>
      </c>
      <c r="L231" s="5">
        <v>0</v>
      </c>
      <c r="N231" s="5">
        <f t="shared" si="59"/>
        <v>140</v>
      </c>
      <c r="O231" s="97">
        <f t="shared" si="60"/>
        <v>181.81818181818184</v>
      </c>
      <c r="P231" s="5">
        <f t="shared" si="61"/>
        <v>1.0149999999999999</v>
      </c>
      <c r="R231" s="96">
        <f t="shared" si="62"/>
        <v>4.1130282101122333</v>
      </c>
      <c r="S231" s="95">
        <f t="shared" si="63"/>
        <v>0.97575539567761715</v>
      </c>
      <c r="T231" s="96">
        <f t="shared" si="64"/>
        <v>60.099071555555561</v>
      </c>
      <c r="U231" s="97"/>
      <c r="V231" s="97">
        <f t="shared" si="68"/>
        <v>52.347631765064797</v>
      </c>
      <c r="W231" s="96">
        <f t="shared" si="58"/>
        <v>58.641993345548542</v>
      </c>
      <c r="X231" s="96">
        <f t="shared" si="71"/>
        <v>0.7785468776978911</v>
      </c>
      <c r="Y231" s="96">
        <f t="shared" si="65"/>
        <v>0.87237603774116435</v>
      </c>
      <c r="Z231" s="96">
        <f t="shared" si="69"/>
        <v>297.07364738155968</v>
      </c>
      <c r="AA231" s="97">
        <f t="shared" si="72"/>
        <v>109.48635261844053</v>
      </c>
      <c r="AB231" s="97">
        <f t="shared" si="73"/>
        <v>259.48635261844095</v>
      </c>
      <c r="AC231" s="97">
        <f t="shared" si="74"/>
        <v>3237.03557201286</v>
      </c>
      <c r="AD231" s="96"/>
      <c r="AE231" s="105">
        <f t="shared" si="66"/>
        <v>27.073647381559681</v>
      </c>
    </row>
    <row r="232" spans="5:31" x14ac:dyDescent="0.35">
      <c r="E232" s="100">
        <f t="shared" si="57"/>
        <v>1.1597222222222472</v>
      </c>
      <c r="F232" s="5">
        <v>20</v>
      </c>
      <c r="G232" s="5">
        <f t="shared" si="70"/>
        <v>140</v>
      </c>
      <c r="H232" s="106">
        <f t="shared" si="70"/>
        <v>3.8194444444444443E-3</v>
      </c>
      <c r="I232" s="110">
        <f t="shared" si="67"/>
        <v>1.7687499999999998E-2</v>
      </c>
      <c r="J232" s="5">
        <v>1.05</v>
      </c>
      <c r="K232" s="5">
        <v>0</v>
      </c>
      <c r="L232" s="5">
        <v>0</v>
      </c>
      <c r="N232" s="5">
        <f t="shared" si="59"/>
        <v>140</v>
      </c>
      <c r="O232" s="97">
        <f t="shared" si="60"/>
        <v>181.81818181818184</v>
      </c>
      <c r="P232" s="5">
        <f t="shared" si="61"/>
        <v>1.0149999999999999</v>
      </c>
      <c r="R232" s="96">
        <f t="shared" si="62"/>
        <v>4.1130282101122333</v>
      </c>
      <c r="S232" s="95">
        <f t="shared" si="63"/>
        <v>0.97561072927587544</v>
      </c>
      <c r="T232" s="96">
        <f t="shared" si="64"/>
        <v>60.099071555555561</v>
      </c>
      <c r="U232" s="97"/>
      <c r="V232" s="97">
        <f t="shared" si="68"/>
        <v>52.347631765064797</v>
      </c>
      <c r="W232" s="96">
        <f t="shared" si="58"/>
        <v>58.633299029118582</v>
      </c>
      <c r="X232" s="96">
        <f t="shared" si="71"/>
        <v>0.77790315275858979</v>
      </c>
      <c r="Y232" s="96">
        <f t="shared" si="65"/>
        <v>0.86509826723589045</v>
      </c>
      <c r="Z232" s="96">
        <f t="shared" si="69"/>
        <v>297.93874564879559</v>
      </c>
      <c r="AA232" s="97">
        <f t="shared" si="72"/>
        <v>108.62125435120464</v>
      </c>
      <c r="AB232" s="97">
        <f t="shared" si="73"/>
        <v>258.62125435120504</v>
      </c>
      <c r="AC232" s="97">
        <f t="shared" si="74"/>
        <v>3251.0492668094944</v>
      </c>
      <c r="AD232" s="96"/>
      <c r="AE232" s="105">
        <f t="shared" si="66"/>
        <v>27.938745648795589</v>
      </c>
    </row>
    <row r="233" spans="5:31" x14ac:dyDescent="0.35">
      <c r="E233" s="100">
        <f t="shared" si="57"/>
        <v>1.1604166666666917</v>
      </c>
      <c r="F233" s="5">
        <v>20</v>
      </c>
      <c r="G233" s="5">
        <f t="shared" si="70"/>
        <v>140</v>
      </c>
      <c r="H233" s="106">
        <f t="shared" si="70"/>
        <v>3.8194444444444443E-3</v>
      </c>
      <c r="I233" s="110">
        <f t="shared" si="67"/>
        <v>1.7687499999999998E-2</v>
      </c>
      <c r="J233" s="5">
        <v>1.05</v>
      </c>
      <c r="K233" s="5">
        <v>0</v>
      </c>
      <c r="L233" s="5">
        <v>0</v>
      </c>
      <c r="N233" s="5">
        <f t="shared" si="59"/>
        <v>140</v>
      </c>
      <c r="O233" s="97">
        <f t="shared" si="60"/>
        <v>181.81818181818184</v>
      </c>
      <c r="P233" s="5">
        <f t="shared" si="61"/>
        <v>1.0149999999999999</v>
      </c>
      <c r="R233" s="96">
        <f t="shared" si="62"/>
        <v>4.1130282101122333</v>
      </c>
      <c r="S233" s="95">
        <f t="shared" si="63"/>
        <v>0.97546726974918097</v>
      </c>
      <c r="T233" s="96">
        <f t="shared" si="64"/>
        <v>60.099071555555561</v>
      </c>
      <c r="U233" s="97"/>
      <c r="V233" s="97">
        <f t="shared" si="68"/>
        <v>52.347631765064797</v>
      </c>
      <c r="W233" s="96">
        <f t="shared" si="58"/>
        <v>58.624677244758445</v>
      </c>
      <c r="X233" s="96">
        <f t="shared" si="71"/>
        <v>0.77726479807497406</v>
      </c>
      <c r="Y233" s="96">
        <f t="shared" si="65"/>
        <v>0.85788330483461928</v>
      </c>
      <c r="Z233" s="96">
        <f t="shared" si="69"/>
        <v>298.7966289536302</v>
      </c>
      <c r="AA233" s="97">
        <f t="shared" si="72"/>
        <v>107.76337104637003</v>
      </c>
      <c r="AB233" s="97">
        <f t="shared" si="73"/>
        <v>257.76337104637042</v>
      </c>
      <c r="AC233" s="97">
        <f t="shared" si="74"/>
        <v>3265.0609009502109</v>
      </c>
      <c r="AD233" s="96"/>
      <c r="AE233" s="105">
        <f t="shared" si="66"/>
        <v>28.796628953630204</v>
      </c>
    </row>
    <row r="234" spans="5:31" x14ac:dyDescent="0.35">
      <c r="E234" s="100">
        <f t="shared" si="57"/>
        <v>1.1611111111111363</v>
      </c>
      <c r="F234" s="5">
        <v>20</v>
      </c>
      <c r="G234" s="5">
        <f t="shared" si="70"/>
        <v>140</v>
      </c>
      <c r="H234" s="106">
        <f t="shared" si="70"/>
        <v>3.8194444444444443E-3</v>
      </c>
      <c r="I234" s="110">
        <f t="shared" si="67"/>
        <v>1.7687499999999998E-2</v>
      </c>
      <c r="J234" s="5">
        <v>1.05</v>
      </c>
      <c r="K234" s="5">
        <v>0</v>
      </c>
      <c r="L234" s="5">
        <v>0</v>
      </c>
      <c r="N234" s="5">
        <f t="shared" si="59"/>
        <v>140</v>
      </c>
      <c r="O234" s="97">
        <f t="shared" si="60"/>
        <v>181.81818181818184</v>
      </c>
      <c r="P234" s="5">
        <f t="shared" si="61"/>
        <v>1.0149999999999999</v>
      </c>
      <c r="R234" s="96">
        <f t="shared" si="62"/>
        <v>4.1130282101122333</v>
      </c>
      <c r="S234" s="95">
        <f t="shared" si="63"/>
        <v>0.97532500668204536</v>
      </c>
      <c r="T234" s="96">
        <f t="shared" si="64"/>
        <v>60.099071555555561</v>
      </c>
      <c r="U234" s="97"/>
      <c r="V234" s="97">
        <f t="shared" si="68"/>
        <v>52.347631765064797</v>
      </c>
      <c r="W234" s="96">
        <f t="shared" si="58"/>
        <v>58.616127366506952</v>
      </c>
      <c r="X234" s="96">
        <f t="shared" si="71"/>
        <v>0.77663176730104067</v>
      </c>
      <c r="Y234" s="96">
        <f t="shared" si="65"/>
        <v>0.85073057432544019</v>
      </c>
      <c r="Z234" s="96">
        <f t="shared" si="69"/>
        <v>299.64735952795564</v>
      </c>
      <c r="AA234" s="97">
        <f t="shared" si="72"/>
        <v>106.91264047204459</v>
      </c>
      <c r="AB234" s="97">
        <f t="shared" si="73"/>
        <v>256.91264047204498</v>
      </c>
      <c r="AC234" s="97">
        <f t="shared" si="74"/>
        <v>3279.070491620982</v>
      </c>
      <c r="AD234" s="96"/>
      <c r="AE234" s="105">
        <f t="shared" si="66"/>
        <v>29.647359527955643</v>
      </c>
    </row>
    <row r="235" spans="5:31" x14ac:dyDescent="0.35">
      <c r="E235" s="100">
        <f t="shared" si="57"/>
        <v>1.1618055555555808</v>
      </c>
      <c r="F235" s="5">
        <v>20</v>
      </c>
      <c r="G235" s="5">
        <f t="shared" si="70"/>
        <v>140</v>
      </c>
      <c r="H235" s="106">
        <f t="shared" si="70"/>
        <v>3.8194444444444443E-3</v>
      </c>
      <c r="I235" s="110">
        <f t="shared" si="67"/>
        <v>1.7687499999999998E-2</v>
      </c>
      <c r="J235" s="5">
        <v>1.05</v>
      </c>
      <c r="K235" s="5">
        <v>0</v>
      </c>
      <c r="L235" s="5">
        <v>0</v>
      </c>
      <c r="N235" s="5">
        <f t="shared" si="59"/>
        <v>140</v>
      </c>
      <c r="O235" s="97">
        <f t="shared" si="60"/>
        <v>181.81818181818184</v>
      </c>
      <c r="P235" s="5">
        <f t="shared" si="61"/>
        <v>1.0149999999999999</v>
      </c>
      <c r="R235" s="96">
        <f t="shared" si="62"/>
        <v>4.1130282101122333</v>
      </c>
      <c r="S235" s="95">
        <f t="shared" si="63"/>
        <v>0.97518392975453383</v>
      </c>
      <c r="T235" s="96">
        <f t="shared" si="64"/>
        <v>60.099071555555561</v>
      </c>
      <c r="U235" s="97"/>
      <c r="V235" s="97">
        <f t="shared" si="68"/>
        <v>52.347631765064797</v>
      </c>
      <c r="W235" s="96">
        <f t="shared" si="58"/>
        <v>58.607648774145595</v>
      </c>
      <c r="X235" s="96">
        <f t="shared" si="71"/>
        <v>0.77600401451597167</v>
      </c>
      <c r="Y235" s="96">
        <f t="shared" si="65"/>
        <v>0.84363950533657839</v>
      </c>
      <c r="Z235" s="96">
        <f t="shared" si="69"/>
        <v>300.49099903329221</v>
      </c>
      <c r="AA235" s="97">
        <f t="shared" si="72"/>
        <v>106.069000966708</v>
      </c>
      <c r="AB235" s="97">
        <f t="shared" si="73"/>
        <v>256.06900096670842</v>
      </c>
      <c r="AC235" s="97">
        <f t="shared" si="74"/>
        <v>3293.0780558595447</v>
      </c>
      <c r="AD235" s="96"/>
      <c r="AE235" s="105">
        <f t="shared" si="66"/>
        <v>0.49099903329221206</v>
      </c>
    </row>
    <row r="236" spans="5:31" x14ac:dyDescent="0.35">
      <c r="E236" s="100">
        <f t="shared" si="57"/>
        <v>1.1625000000000254</v>
      </c>
      <c r="F236" s="5">
        <v>20</v>
      </c>
      <c r="G236" s="5">
        <f t="shared" si="70"/>
        <v>140</v>
      </c>
      <c r="H236" s="106">
        <f t="shared" si="70"/>
        <v>3.8194444444444443E-3</v>
      </c>
      <c r="I236" s="110">
        <f t="shared" si="67"/>
        <v>1.7687499999999998E-2</v>
      </c>
      <c r="J236" s="5">
        <v>1.05</v>
      </c>
      <c r="K236" s="5">
        <v>0</v>
      </c>
      <c r="L236" s="5">
        <v>0</v>
      </c>
      <c r="N236" s="5">
        <f t="shared" si="59"/>
        <v>140</v>
      </c>
      <c r="O236" s="97">
        <f t="shared" si="60"/>
        <v>181.81818181818184</v>
      </c>
      <c r="P236" s="5">
        <f t="shared" si="61"/>
        <v>1.0149999999999999</v>
      </c>
      <c r="R236" s="96">
        <f t="shared" si="62"/>
        <v>4.1130282101122333</v>
      </c>
      <c r="S236" s="95">
        <f t="shared" si="63"/>
        <v>0.97504402874129625</v>
      </c>
      <c r="T236" s="96">
        <f t="shared" si="64"/>
        <v>60.099071555555561</v>
      </c>
      <c r="U236" s="97"/>
      <c r="V236" s="97">
        <f t="shared" si="68"/>
        <v>52.347631765064797</v>
      </c>
      <c r="W236" s="96">
        <f t="shared" si="58"/>
        <v>58.599240853140337</v>
      </c>
      <c r="X236" s="96">
        <f t="shared" si="71"/>
        <v>0.77538149421982605</v>
      </c>
      <c r="Y236" s="96">
        <f t="shared" si="65"/>
        <v>0.83660953326840815</v>
      </c>
      <c r="Z236" s="96">
        <f t="shared" si="69"/>
        <v>301.32760856656063</v>
      </c>
      <c r="AA236" s="97">
        <f t="shared" si="72"/>
        <v>105.2323914334396</v>
      </c>
      <c r="AB236" s="97">
        <f t="shared" si="73"/>
        <v>255.23239143344</v>
      </c>
      <c r="AC236" s="97">
        <f t="shared" si="74"/>
        <v>3307.0836105567582</v>
      </c>
      <c r="AD236" s="96"/>
      <c r="AE236" s="105">
        <f t="shared" si="66"/>
        <v>1.3276085665606274</v>
      </c>
    </row>
    <row r="237" spans="5:31" x14ac:dyDescent="0.35">
      <c r="E237" s="100">
        <f t="shared" si="57"/>
        <v>1.16319444444447</v>
      </c>
      <c r="F237" s="5">
        <v>20</v>
      </c>
      <c r="G237" s="5">
        <f t="shared" si="70"/>
        <v>140</v>
      </c>
      <c r="H237" s="106">
        <f t="shared" si="70"/>
        <v>3.8194444444444443E-3</v>
      </c>
      <c r="I237" s="110">
        <f t="shared" si="67"/>
        <v>1.7687499999999998E-2</v>
      </c>
      <c r="J237" s="5">
        <v>1.05</v>
      </c>
      <c r="K237" s="5">
        <v>0</v>
      </c>
      <c r="L237" s="5">
        <v>0</v>
      </c>
      <c r="N237" s="5">
        <f t="shared" si="59"/>
        <v>140</v>
      </c>
      <c r="O237" s="97">
        <f t="shared" si="60"/>
        <v>181.81818181818184</v>
      </c>
      <c r="P237" s="5">
        <f t="shared" si="61"/>
        <v>1.0149999999999999</v>
      </c>
      <c r="R237" s="96">
        <f t="shared" si="62"/>
        <v>4.1130282101122333</v>
      </c>
      <c r="S237" s="95">
        <f t="shared" si="63"/>
        <v>0.97490529351061062</v>
      </c>
      <c r="T237" s="96">
        <f t="shared" si="64"/>
        <v>60.099071555555561</v>
      </c>
      <c r="U237" s="97"/>
      <c r="V237" s="97">
        <f t="shared" si="68"/>
        <v>52.347631765064797</v>
      </c>
      <c r="W237" s="96">
        <f t="shared" si="58"/>
        <v>58.590902994584084</v>
      </c>
      <c r="X237" s="96">
        <f t="shared" si="71"/>
        <v>0.77476416132927972</v>
      </c>
      <c r="Y237" s="96">
        <f t="shared" si="65"/>
        <v>0.82964009922637594</v>
      </c>
      <c r="Z237" s="96">
        <f t="shared" si="69"/>
        <v>302.15724866578699</v>
      </c>
      <c r="AA237" s="97">
        <f t="shared" si="72"/>
        <v>104.40275133421322</v>
      </c>
      <c r="AB237" s="97">
        <f t="shared" si="73"/>
        <v>254.40275133421363</v>
      </c>
      <c r="AC237" s="97">
        <f t="shared" si="74"/>
        <v>3321.0871724579492</v>
      </c>
      <c r="AD237" s="96"/>
      <c r="AE237" s="105">
        <f t="shared" si="66"/>
        <v>2.1572486657869945</v>
      </c>
    </row>
    <row r="238" spans="5:31" x14ac:dyDescent="0.35">
      <c r="E238" s="100">
        <f t="shared" si="57"/>
        <v>1.1638888888889145</v>
      </c>
      <c r="F238" s="5">
        <v>20</v>
      </c>
      <c r="G238" s="5">
        <f t="shared" si="70"/>
        <v>140</v>
      </c>
      <c r="H238" s="106">
        <f t="shared" si="70"/>
        <v>3.8194444444444443E-3</v>
      </c>
      <c r="I238" s="110">
        <f t="shared" si="67"/>
        <v>1.7687499999999998E-2</v>
      </c>
      <c r="J238" s="5">
        <v>1.05</v>
      </c>
      <c r="K238" s="5">
        <v>0</v>
      </c>
      <c r="L238" s="5">
        <v>0</v>
      </c>
      <c r="N238" s="5">
        <f t="shared" si="59"/>
        <v>140</v>
      </c>
      <c r="O238" s="97">
        <f t="shared" si="60"/>
        <v>181.81818181818184</v>
      </c>
      <c r="P238" s="5">
        <f t="shared" si="61"/>
        <v>1.0149999999999999</v>
      </c>
      <c r="R238" s="96">
        <f t="shared" si="62"/>
        <v>4.1130282101122333</v>
      </c>
      <c r="S238" s="95">
        <f t="shared" si="63"/>
        <v>0.97476771402343609</v>
      </c>
      <c r="T238" s="96">
        <f t="shared" si="64"/>
        <v>60.099071555555561</v>
      </c>
      <c r="U238" s="97"/>
      <c r="V238" s="97">
        <f t="shared" si="68"/>
        <v>52.347631765064797</v>
      </c>
      <c r="W238" s="96">
        <f t="shared" si="58"/>
        <v>58.582634595139808</v>
      </c>
      <c r="X238" s="96">
        <f t="shared" si="71"/>
        <v>0.77415197117341605</v>
      </c>
      <c r="Y238" s="96">
        <f t="shared" si="65"/>
        <v>0.82273064995484391</v>
      </c>
      <c r="Z238" s="96">
        <f t="shared" si="69"/>
        <v>302.97997931574184</v>
      </c>
      <c r="AA238" s="97">
        <f t="shared" si="72"/>
        <v>103.58002068425837</v>
      </c>
      <c r="AB238" s="97">
        <f t="shared" si="73"/>
        <v>253.58002068425878</v>
      </c>
      <c r="AC238" s="97">
        <f t="shared" si="74"/>
        <v>3335.0887581642446</v>
      </c>
      <c r="AD238" s="96"/>
      <c r="AE238" s="105">
        <f t="shared" si="66"/>
        <v>2.9799793157418435</v>
      </c>
    </row>
    <row r="239" spans="5:31" x14ac:dyDescent="0.35">
      <c r="E239" s="100">
        <f t="shared" si="57"/>
        <v>1.1645833333333591</v>
      </c>
      <c r="F239" s="5">
        <v>20</v>
      </c>
      <c r="G239" s="5">
        <f t="shared" si="70"/>
        <v>140</v>
      </c>
      <c r="H239" s="106">
        <f t="shared" si="70"/>
        <v>3.8194444444444443E-3</v>
      </c>
      <c r="I239" s="110">
        <f t="shared" si="67"/>
        <v>1.7687499999999998E-2</v>
      </c>
      <c r="J239" s="5">
        <v>1.05</v>
      </c>
      <c r="K239" s="5">
        <v>0</v>
      </c>
      <c r="L239" s="5">
        <v>0</v>
      </c>
      <c r="N239" s="5">
        <f t="shared" si="59"/>
        <v>140</v>
      </c>
      <c r="O239" s="97">
        <f t="shared" si="60"/>
        <v>181.81818181818184</v>
      </c>
      <c r="P239" s="5">
        <f t="shared" si="61"/>
        <v>1.0149999999999999</v>
      </c>
      <c r="R239" s="96">
        <f t="shared" si="62"/>
        <v>4.1130282101122333</v>
      </c>
      <c r="S239" s="95">
        <f t="shared" si="63"/>
        <v>0.97463128033247914</v>
      </c>
      <c r="T239" s="96">
        <f t="shared" si="64"/>
        <v>60.099071555555561</v>
      </c>
      <c r="U239" s="97"/>
      <c r="V239" s="97">
        <f t="shared" si="68"/>
        <v>52.347631765064797</v>
      </c>
      <c r="W239" s="96">
        <f t="shared" si="58"/>
        <v>58.574435056984399</v>
      </c>
      <c r="X239" s="96">
        <f t="shared" si="71"/>
        <v>0.77354487948956507</v>
      </c>
      <c r="Y239" s="96">
        <f t="shared" si="65"/>
        <v>0.81588063777183262</v>
      </c>
      <c r="Z239" s="96">
        <f t="shared" si="69"/>
        <v>303.79585995351368</v>
      </c>
      <c r="AA239" s="97">
        <f t="shared" si="72"/>
        <v>102.76414004648655</v>
      </c>
      <c r="AB239" s="97">
        <f t="shared" si="73"/>
        <v>252.76414004648694</v>
      </c>
      <c r="AC239" s="97">
        <f t="shared" si="74"/>
        <v>3349.0883841338873</v>
      </c>
      <c r="AD239" s="96"/>
      <c r="AE239" s="105">
        <f t="shared" si="66"/>
        <v>3.7958599535136841</v>
      </c>
    </row>
    <row r="240" spans="5:31" x14ac:dyDescent="0.35">
      <c r="E240" s="100">
        <f t="shared" si="57"/>
        <v>1.1652777777778036</v>
      </c>
      <c r="F240" s="5">
        <v>20</v>
      </c>
      <c r="G240" s="5">
        <f t="shared" si="70"/>
        <v>140</v>
      </c>
      <c r="H240" s="106">
        <f t="shared" si="70"/>
        <v>3.8194444444444443E-3</v>
      </c>
      <c r="I240" s="110">
        <f t="shared" si="67"/>
        <v>1.7687499999999998E-2</v>
      </c>
      <c r="J240" s="5">
        <v>1.05</v>
      </c>
      <c r="K240" s="5">
        <v>0</v>
      </c>
      <c r="L240" s="5">
        <v>0</v>
      </c>
      <c r="N240" s="5">
        <f t="shared" si="59"/>
        <v>140</v>
      </c>
      <c r="O240" s="97">
        <f t="shared" si="60"/>
        <v>181.81818181818184</v>
      </c>
      <c r="P240" s="5">
        <f t="shared" si="61"/>
        <v>1.0149999999999999</v>
      </c>
      <c r="R240" s="96">
        <f t="shared" si="62"/>
        <v>4.1130282101122333</v>
      </c>
      <c r="S240" s="95">
        <f t="shared" si="63"/>
        <v>0.97449598258126757</v>
      </c>
      <c r="T240" s="96">
        <f t="shared" si="64"/>
        <v>60.099071555555561</v>
      </c>
      <c r="U240" s="97"/>
      <c r="V240" s="97">
        <f t="shared" si="68"/>
        <v>52.347631765064797</v>
      </c>
      <c r="W240" s="96">
        <f t="shared" si="58"/>
        <v>58.566303787753029</v>
      </c>
      <c r="X240" s="96">
        <f t="shared" si="71"/>
        <v>0.77294284241919042</v>
      </c>
      <c r="Y240" s="96">
        <f t="shared" si="65"/>
        <v>0.80908952050464145</v>
      </c>
      <c r="Z240" s="96">
        <f t="shared" si="69"/>
        <v>304.60494947401833</v>
      </c>
      <c r="AA240" s="97">
        <f t="shared" si="72"/>
        <v>101.9550505259819</v>
      </c>
      <c r="AB240" s="97">
        <f t="shared" si="73"/>
        <v>251.9550505259823</v>
      </c>
      <c r="AC240" s="97">
        <f t="shared" si="74"/>
        <v>3363.0860666835415</v>
      </c>
      <c r="AD240" s="96"/>
      <c r="AE240" s="105">
        <f t="shared" si="66"/>
        <v>4.6049494740183263</v>
      </c>
    </row>
    <row r="241" spans="5:31" x14ac:dyDescent="0.35">
      <c r="E241" s="100">
        <f t="shared" si="57"/>
        <v>1.1659722222222482</v>
      </c>
      <c r="F241" s="5">
        <v>20</v>
      </c>
      <c r="G241" s="5">
        <f t="shared" si="70"/>
        <v>140</v>
      </c>
      <c r="H241" s="106">
        <f t="shared" si="70"/>
        <v>3.8194444444444443E-3</v>
      </c>
      <c r="I241" s="110">
        <f t="shared" si="67"/>
        <v>1.7687499999999998E-2</v>
      </c>
      <c r="J241" s="5">
        <v>1.05</v>
      </c>
      <c r="K241" s="5">
        <v>0</v>
      </c>
      <c r="L241" s="5">
        <v>0</v>
      </c>
      <c r="N241" s="5">
        <f t="shared" si="59"/>
        <v>140</v>
      </c>
      <c r="O241" s="97">
        <f t="shared" si="60"/>
        <v>181.81818181818184</v>
      </c>
      <c r="P241" s="5">
        <f t="shared" si="61"/>
        <v>1.0149999999999999</v>
      </c>
      <c r="R241" s="96">
        <f t="shared" si="62"/>
        <v>4.1130282101122333</v>
      </c>
      <c r="S241" s="95">
        <f t="shared" si="63"/>
        <v>0.97436181100323882</v>
      </c>
      <c r="T241" s="96">
        <f t="shared" si="64"/>
        <v>60.099071555555561</v>
      </c>
      <c r="U241" s="97"/>
      <c r="V241" s="97">
        <f t="shared" si="68"/>
        <v>52.347631765064797</v>
      </c>
      <c r="W241" s="96">
        <f t="shared" si="58"/>
        <v>58.558240200484356</v>
      </c>
      <c r="X241" s="96">
        <f t="shared" si="71"/>
        <v>0.77234581650382395</v>
      </c>
      <c r="Y241" s="96">
        <f t="shared" si="65"/>
        <v>0.80235676142634282</v>
      </c>
      <c r="Z241" s="96">
        <f t="shared" si="69"/>
        <v>305.40730623544465</v>
      </c>
      <c r="AA241" s="97">
        <f t="shared" si="72"/>
        <v>101.15269376455556</v>
      </c>
      <c r="AB241" s="97">
        <f t="shared" si="73"/>
        <v>251.15269376455595</v>
      </c>
      <c r="AC241" s="97">
        <f t="shared" si="74"/>
        <v>3377.0818219895846</v>
      </c>
      <c r="AD241" s="96"/>
      <c r="AE241" s="105">
        <f t="shared" si="66"/>
        <v>5.4073062354446506</v>
      </c>
    </row>
    <row r="242" spans="5:31" x14ac:dyDescent="0.35">
      <c r="E242" s="100">
        <f t="shared" si="57"/>
        <v>1.1666666666666927</v>
      </c>
      <c r="F242" s="5">
        <v>20</v>
      </c>
      <c r="G242" s="5">
        <f t="shared" si="70"/>
        <v>140</v>
      </c>
      <c r="H242" s="106">
        <f t="shared" si="70"/>
        <v>3.8194444444444443E-3</v>
      </c>
      <c r="I242" s="110">
        <f t="shared" si="67"/>
        <v>1.7687499999999998E-2</v>
      </c>
      <c r="J242" s="5">
        <v>1.05</v>
      </c>
      <c r="K242" s="5">
        <v>0</v>
      </c>
      <c r="L242" s="5">
        <v>0</v>
      </c>
      <c r="N242" s="5">
        <f t="shared" si="59"/>
        <v>140</v>
      </c>
      <c r="O242" s="97">
        <f t="shared" si="60"/>
        <v>181.81818181818184</v>
      </c>
      <c r="P242" s="5">
        <f t="shared" si="61"/>
        <v>1.02</v>
      </c>
      <c r="R242" s="96">
        <f t="shared" si="62"/>
        <v>4.1332894328221466</v>
      </c>
      <c r="S242" s="95">
        <f t="shared" si="63"/>
        <v>0.97422875592083513</v>
      </c>
      <c r="T242" s="96">
        <f t="shared" si="64"/>
        <v>60.099071555555561</v>
      </c>
      <c r="U242" s="97"/>
      <c r="V242" s="97">
        <f t="shared" si="68"/>
        <v>52.605501872281877</v>
      </c>
      <c r="W242" s="96">
        <f t="shared" si="58"/>
        <v>58.550243713566147</v>
      </c>
      <c r="X242" s="96">
        <f t="shared" si="71"/>
        <v>0.77175375868104767</v>
      </c>
      <c r="Y242" s="96">
        <f t="shared" si="65"/>
        <v>0.79568182919313557</v>
      </c>
      <c r="Z242" s="96">
        <f t="shared" si="69"/>
        <v>306.20298806463779</v>
      </c>
      <c r="AA242" s="97">
        <f t="shared" si="72"/>
        <v>100.35701193536244</v>
      </c>
      <c r="AB242" s="97">
        <f t="shared" si="73"/>
        <v>280.35701193536283</v>
      </c>
      <c r="AC242" s="97">
        <f t="shared" si="74"/>
        <v>3391.0756660893853</v>
      </c>
      <c r="AD242" s="96"/>
      <c r="AE242" s="105">
        <f t="shared" si="66"/>
        <v>6.2029880646377933</v>
      </c>
    </row>
    <row r="243" spans="5:31" x14ac:dyDescent="0.35">
      <c r="E243" s="100">
        <f t="shared" si="57"/>
        <v>1.1673611111111373</v>
      </c>
      <c r="F243" s="5">
        <v>20</v>
      </c>
      <c r="G243" s="5">
        <f t="shared" si="70"/>
        <v>140</v>
      </c>
      <c r="H243" s="106">
        <f t="shared" si="70"/>
        <v>3.8194444444444443E-3</v>
      </c>
      <c r="I243" s="110">
        <f t="shared" si="67"/>
        <v>1.7687499999999998E-2</v>
      </c>
      <c r="J243" s="5">
        <v>1.05</v>
      </c>
      <c r="K243" s="5">
        <v>0</v>
      </c>
      <c r="L243" s="5">
        <v>0</v>
      </c>
      <c r="N243" s="5">
        <f t="shared" si="59"/>
        <v>140</v>
      </c>
      <c r="O243" s="97">
        <f t="shared" si="60"/>
        <v>181.81818181818184</v>
      </c>
      <c r="P243" s="5">
        <f t="shared" si="61"/>
        <v>1.02</v>
      </c>
      <c r="R243" s="96">
        <f t="shared" si="62"/>
        <v>4.1332894328221466</v>
      </c>
      <c r="S243" s="95">
        <f t="shared" si="63"/>
        <v>0.97907171749051336</v>
      </c>
      <c r="T243" s="96">
        <f t="shared" si="64"/>
        <v>60.099071555555561</v>
      </c>
      <c r="U243" s="97"/>
      <c r="V243" s="97">
        <f t="shared" si="68"/>
        <v>52.605501872281877</v>
      </c>
      <c r="W243" s="96">
        <f t="shared" si="58"/>
        <v>58.841301207483042</v>
      </c>
      <c r="X243" s="96">
        <f t="shared" si="71"/>
        <v>0.79330358023565717</v>
      </c>
      <c r="Y243" s="96">
        <f t="shared" si="65"/>
        <v>1.039792437193725</v>
      </c>
      <c r="Z243" s="96">
        <f t="shared" si="69"/>
        <v>307.24278050183153</v>
      </c>
      <c r="AA243" s="97">
        <f t="shared" si="72"/>
        <v>99.317219498168711</v>
      </c>
      <c r="AB243" s="97">
        <f t="shared" si="73"/>
        <v>279.3172194981691</v>
      </c>
      <c r="AC243" s="97">
        <f t="shared" si="74"/>
        <v>3405.1390745997778</v>
      </c>
      <c r="AD243" s="96"/>
      <c r="AE243" s="105">
        <f t="shared" si="66"/>
        <v>7.2427805018315325</v>
      </c>
    </row>
    <row r="244" spans="5:31" x14ac:dyDescent="0.35">
      <c r="E244" s="100">
        <f t="shared" si="57"/>
        <v>1.1680555555555818</v>
      </c>
      <c r="F244" s="5">
        <v>20</v>
      </c>
      <c r="G244" s="5">
        <f t="shared" si="70"/>
        <v>140</v>
      </c>
      <c r="H244" s="106">
        <f t="shared" si="70"/>
        <v>3.8194444444444443E-3</v>
      </c>
      <c r="I244" s="110">
        <f t="shared" si="67"/>
        <v>1.7687499999999998E-2</v>
      </c>
      <c r="J244" s="5">
        <v>1.05</v>
      </c>
      <c r="K244" s="5">
        <v>0</v>
      </c>
      <c r="L244" s="5">
        <v>0</v>
      </c>
      <c r="N244" s="5">
        <f t="shared" si="59"/>
        <v>140</v>
      </c>
      <c r="O244" s="97">
        <f t="shared" si="60"/>
        <v>181.81818181818184</v>
      </c>
      <c r="P244" s="5">
        <f t="shared" si="61"/>
        <v>1.02</v>
      </c>
      <c r="R244" s="96">
        <f t="shared" si="62"/>
        <v>4.1332894328221466</v>
      </c>
      <c r="S244" s="95">
        <f t="shared" si="63"/>
        <v>0.97889928837286289</v>
      </c>
      <c r="T244" s="96">
        <f t="shared" si="64"/>
        <v>60.099071555555561</v>
      </c>
      <c r="U244" s="97"/>
      <c r="V244" s="97">
        <f t="shared" si="68"/>
        <v>52.605501872281877</v>
      </c>
      <c r="W244" s="96">
        <f t="shared" si="58"/>
        <v>58.830938377603104</v>
      </c>
      <c r="X244" s="96">
        <f t="shared" si="71"/>
        <v>0.79253631899215538</v>
      </c>
      <c r="Y244" s="96">
        <f t="shared" si="65"/>
        <v>1.0310603182419922</v>
      </c>
      <c r="Z244" s="96">
        <f t="shared" si="69"/>
        <v>308.27384082007353</v>
      </c>
      <c r="AA244" s="97">
        <f t="shared" si="72"/>
        <v>98.286159179926713</v>
      </c>
      <c r="AB244" s="97">
        <f t="shared" si="73"/>
        <v>278.2861591799271</v>
      </c>
      <c r="AC244" s="97">
        <f t="shared" si="74"/>
        <v>3419.2000063343867</v>
      </c>
      <c r="AD244" s="96"/>
      <c r="AE244" s="105">
        <f t="shared" si="66"/>
        <v>8.2738408200735307</v>
      </c>
    </row>
    <row r="245" spans="5:31" x14ac:dyDescent="0.35">
      <c r="E245" s="100">
        <f t="shared" si="57"/>
        <v>1.1687500000000264</v>
      </c>
      <c r="F245" s="5">
        <v>20</v>
      </c>
      <c r="G245" s="5">
        <f t="shared" si="70"/>
        <v>140</v>
      </c>
      <c r="H245" s="106">
        <f t="shared" si="70"/>
        <v>3.8194444444444443E-3</v>
      </c>
      <c r="I245" s="110">
        <f t="shared" si="67"/>
        <v>1.7687499999999998E-2</v>
      </c>
      <c r="J245" s="5">
        <v>1.05</v>
      </c>
      <c r="K245" s="5">
        <v>0</v>
      </c>
      <c r="L245" s="5">
        <v>0</v>
      </c>
      <c r="N245" s="5">
        <f t="shared" si="59"/>
        <v>140</v>
      </c>
      <c r="O245" s="97">
        <f t="shared" si="60"/>
        <v>181.81818181818184</v>
      </c>
      <c r="P245" s="5">
        <f t="shared" si="61"/>
        <v>1.02</v>
      </c>
      <c r="R245" s="96">
        <f t="shared" si="62"/>
        <v>4.1332894328221466</v>
      </c>
      <c r="S245" s="95">
        <f t="shared" si="63"/>
        <v>0.97872830730533522</v>
      </c>
      <c r="T245" s="96">
        <f t="shared" si="64"/>
        <v>60.099071555555561</v>
      </c>
      <c r="U245" s="97"/>
      <c r="V245" s="97">
        <f t="shared" si="68"/>
        <v>52.605501872281877</v>
      </c>
      <c r="W245" s="96">
        <f t="shared" si="58"/>
        <v>58.820662574191111</v>
      </c>
      <c r="X245" s="96">
        <f t="shared" si="71"/>
        <v>0.79177550116582562</v>
      </c>
      <c r="Y245" s="96">
        <f t="shared" si="65"/>
        <v>1.022404505047787</v>
      </c>
      <c r="Z245" s="96">
        <f t="shared" si="69"/>
        <v>309.29624532512133</v>
      </c>
      <c r="AA245" s="97">
        <f t="shared" si="72"/>
        <v>97.263754674878925</v>
      </c>
      <c r="AB245" s="97">
        <f t="shared" si="73"/>
        <v>277.26375467487929</v>
      </c>
      <c r="AC245" s="97">
        <f t="shared" si="74"/>
        <v>3433.2584820930365</v>
      </c>
      <c r="AD245" s="96"/>
      <c r="AE245" s="105">
        <f t="shared" si="66"/>
        <v>9.2962453251213333</v>
      </c>
    </row>
    <row r="246" spans="5:31" x14ac:dyDescent="0.35">
      <c r="E246" s="100">
        <f t="shared" si="57"/>
        <v>1.1694444444444709</v>
      </c>
      <c r="F246" s="5">
        <v>20</v>
      </c>
      <c r="G246" s="5">
        <f t="shared" si="70"/>
        <v>140</v>
      </c>
      <c r="H246" s="106">
        <f t="shared" si="70"/>
        <v>3.8194444444444443E-3</v>
      </c>
      <c r="I246" s="110">
        <f t="shared" si="67"/>
        <v>1.7687499999999998E-2</v>
      </c>
      <c r="J246" s="5">
        <v>1.05</v>
      </c>
      <c r="K246" s="5">
        <v>0</v>
      </c>
      <c r="L246" s="5">
        <v>0</v>
      </c>
      <c r="N246" s="5">
        <f t="shared" si="59"/>
        <v>140</v>
      </c>
      <c r="O246" s="97">
        <f t="shared" si="60"/>
        <v>181.81818181818184</v>
      </c>
      <c r="P246" s="5">
        <f t="shared" si="61"/>
        <v>1.02</v>
      </c>
      <c r="R246" s="96">
        <f t="shared" si="62"/>
        <v>4.1332894328221466</v>
      </c>
      <c r="S246" s="95">
        <f t="shared" si="63"/>
        <v>0.97855876163412137</v>
      </c>
      <c r="T246" s="96">
        <f t="shared" si="64"/>
        <v>60.099071555555561</v>
      </c>
      <c r="U246" s="97"/>
      <c r="V246" s="97">
        <f t="shared" si="68"/>
        <v>52.605501872281877</v>
      </c>
      <c r="W246" s="96">
        <f t="shared" si="58"/>
        <v>58.810473036764897</v>
      </c>
      <c r="X246" s="96">
        <f t="shared" si="71"/>
        <v>0.79102107045076675</v>
      </c>
      <c r="Y246" s="96">
        <f t="shared" si="65"/>
        <v>1.013824282106496</v>
      </c>
      <c r="Z246" s="96">
        <f t="shared" si="69"/>
        <v>310.31006960722783</v>
      </c>
      <c r="AA246" s="97">
        <f t="shared" si="72"/>
        <v>96.249930392772427</v>
      </c>
      <c r="AB246" s="97">
        <f t="shared" si="73"/>
        <v>276.2499303927728</v>
      </c>
      <c r="AC246" s="97">
        <f t="shared" si="74"/>
        <v>3447.314522493793</v>
      </c>
      <c r="AD246" s="96"/>
      <c r="AE246" s="105">
        <f t="shared" si="66"/>
        <v>10.310069607227831</v>
      </c>
    </row>
    <row r="247" spans="5:31" x14ac:dyDescent="0.35">
      <c r="E247" s="100">
        <f t="shared" ref="E247:E310" si="75">E246+TIME(0,1,0)</f>
        <v>1.1701388888889155</v>
      </c>
      <c r="F247" s="5">
        <v>20</v>
      </c>
      <c r="G247" s="5">
        <f t="shared" si="70"/>
        <v>140</v>
      </c>
      <c r="H247" s="106">
        <f t="shared" si="70"/>
        <v>3.8194444444444443E-3</v>
      </c>
      <c r="I247" s="110">
        <f t="shared" si="67"/>
        <v>1.7687499999999998E-2</v>
      </c>
      <c r="J247" s="5">
        <v>1.05</v>
      </c>
      <c r="K247" s="5">
        <v>0</v>
      </c>
      <c r="L247" s="5">
        <v>0</v>
      </c>
      <c r="N247" s="5">
        <f t="shared" si="59"/>
        <v>140</v>
      </c>
      <c r="O247" s="97">
        <f t="shared" si="60"/>
        <v>181.81818181818184</v>
      </c>
      <c r="P247" s="5">
        <f t="shared" si="61"/>
        <v>1.02</v>
      </c>
      <c r="R247" s="96">
        <f t="shared" si="62"/>
        <v>4.1332894328221466</v>
      </c>
      <c r="S247" s="95">
        <f t="shared" si="63"/>
        <v>0.9783906388240653</v>
      </c>
      <c r="T247" s="96">
        <f t="shared" si="64"/>
        <v>60.099071555555561</v>
      </c>
      <c r="U247" s="97"/>
      <c r="V247" s="97">
        <f t="shared" si="68"/>
        <v>52.605501872281877</v>
      </c>
      <c r="W247" s="96">
        <f t="shared" ref="W247:W310" si="76">S247*T247</f>
        <v>58.800369011973217</v>
      </c>
      <c r="X247" s="96">
        <f t="shared" si="71"/>
        <v>0.79027297106904715</v>
      </c>
      <c r="Y247" s="96">
        <f t="shared" si="65"/>
        <v>1.0053189414142343</v>
      </c>
      <c r="Z247" s="96">
        <f t="shared" si="69"/>
        <v>311.31538854864209</v>
      </c>
      <c r="AA247" s="97">
        <f t="shared" si="72"/>
        <v>95.244611451358196</v>
      </c>
      <c r="AB247" s="97">
        <f t="shared" si="73"/>
        <v>275.24461145135854</v>
      </c>
      <c r="AC247" s="97">
        <f t="shared" si="74"/>
        <v>3461.368147974666</v>
      </c>
      <c r="AD247" s="96"/>
      <c r="AE247" s="105">
        <f t="shared" si="66"/>
        <v>11.31538854864209</v>
      </c>
    </row>
    <row r="248" spans="5:31" x14ac:dyDescent="0.35">
      <c r="E248" s="100">
        <f t="shared" si="75"/>
        <v>1.17083333333336</v>
      </c>
      <c r="F248" s="5">
        <v>20</v>
      </c>
      <c r="G248" s="5">
        <f t="shared" si="70"/>
        <v>140</v>
      </c>
      <c r="H248" s="106">
        <f t="shared" si="70"/>
        <v>3.8194444444444443E-3</v>
      </c>
      <c r="I248" s="110">
        <f t="shared" si="67"/>
        <v>1.7687499999999998E-2</v>
      </c>
      <c r="J248" s="5">
        <v>1.05</v>
      </c>
      <c r="K248" s="5">
        <v>0</v>
      </c>
      <c r="L248" s="5">
        <v>0</v>
      </c>
      <c r="N248" s="5">
        <f t="shared" si="59"/>
        <v>140</v>
      </c>
      <c r="O248" s="97">
        <f t="shared" si="60"/>
        <v>181.81818181818184</v>
      </c>
      <c r="P248" s="5">
        <f t="shared" si="61"/>
        <v>1.02</v>
      </c>
      <c r="R248" s="96">
        <f t="shared" si="62"/>
        <v>4.1332894328221466</v>
      </c>
      <c r="S248" s="95">
        <f t="shared" si="63"/>
        <v>0.97822392645741907</v>
      </c>
      <c r="T248" s="96">
        <f t="shared" si="64"/>
        <v>60.099071555555561</v>
      </c>
      <c r="U248" s="97"/>
      <c r="V248" s="97">
        <f t="shared" si="68"/>
        <v>52.605501872281877</v>
      </c>
      <c r="W248" s="96">
        <f t="shared" si="76"/>
        <v>58.79034975352095</v>
      </c>
      <c r="X248" s="96">
        <f t="shared" si="71"/>
        <v>0.78953114776516997</v>
      </c>
      <c r="Y248" s="96">
        <f t="shared" si="65"/>
        <v>0.99688778237661169</v>
      </c>
      <c r="Z248" s="96">
        <f t="shared" si="69"/>
        <v>312.31227633101872</v>
      </c>
      <c r="AA248" s="97">
        <f t="shared" si="72"/>
        <v>94.247723668981578</v>
      </c>
      <c r="AB248" s="97">
        <f t="shared" si="73"/>
        <v>274.24772366898191</v>
      </c>
      <c r="AC248" s="97">
        <f t="shared" si="74"/>
        <v>3475.4193787952972</v>
      </c>
      <c r="AD248" s="96"/>
      <c r="AE248" s="105">
        <f t="shared" si="66"/>
        <v>12.312276331018722</v>
      </c>
    </row>
    <row r="249" spans="5:31" x14ac:dyDescent="0.35">
      <c r="E249" s="100">
        <f t="shared" si="75"/>
        <v>1.1715277777778046</v>
      </c>
      <c r="F249" s="5">
        <v>20</v>
      </c>
      <c r="G249" s="5">
        <f t="shared" si="70"/>
        <v>140</v>
      </c>
      <c r="H249" s="106">
        <f t="shared" si="70"/>
        <v>3.8194444444444443E-3</v>
      </c>
      <c r="I249" s="110">
        <f t="shared" si="67"/>
        <v>1.7687499999999998E-2</v>
      </c>
      <c r="J249" s="5">
        <v>1.05</v>
      </c>
      <c r="K249" s="5">
        <v>0</v>
      </c>
      <c r="L249" s="5">
        <v>0</v>
      </c>
      <c r="N249" s="5">
        <f t="shared" si="59"/>
        <v>140</v>
      </c>
      <c r="O249" s="97">
        <f t="shared" si="60"/>
        <v>181.81818181818184</v>
      </c>
      <c r="P249" s="5">
        <f t="shared" si="61"/>
        <v>1.02</v>
      </c>
      <c r="R249" s="96">
        <f t="shared" si="62"/>
        <v>4.1332894328221466</v>
      </c>
      <c r="S249" s="95">
        <f t="shared" si="63"/>
        <v>0.97805861223261537</v>
      </c>
      <c r="T249" s="96">
        <f t="shared" si="64"/>
        <v>60.099071555555561</v>
      </c>
      <c r="U249" s="97"/>
      <c r="V249" s="97">
        <f t="shared" si="68"/>
        <v>52.605501872281877</v>
      </c>
      <c r="W249" s="96">
        <f t="shared" si="76"/>
        <v>58.78041452209532</v>
      </c>
      <c r="X249" s="96">
        <f t="shared" si="71"/>
        <v>0.7887955458006064</v>
      </c>
      <c r="Y249" s="96">
        <f t="shared" si="65"/>
        <v>0.98853011171881577</v>
      </c>
      <c r="Z249" s="96">
        <f t="shared" si="69"/>
        <v>313.30080644273755</v>
      </c>
      <c r="AA249" s="97">
        <f t="shared" si="72"/>
        <v>93.259193557262762</v>
      </c>
      <c r="AB249" s="97">
        <f t="shared" si="73"/>
        <v>273.25919355726307</v>
      </c>
      <c r="AC249" s="97">
        <f t="shared" si="74"/>
        <v>3489.4682350386279</v>
      </c>
      <c r="AD249" s="96"/>
      <c r="AE249" s="105">
        <f t="shared" si="66"/>
        <v>13.300806442737553</v>
      </c>
    </row>
    <row r="250" spans="5:31" x14ac:dyDescent="0.35">
      <c r="E250" s="100">
        <f t="shared" si="75"/>
        <v>1.1722222222222491</v>
      </c>
      <c r="F250" s="5">
        <v>20</v>
      </c>
      <c r="G250" s="5">
        <f t="shared" si="70"/>
        <v>140</v>
      </c>
      <c r="H250" s="106">
        <f t="shared" si="70"/>
        <v>3.8194444444444443E-3</v>
      </c>
      <c r="I250" s="110">
        <f t="shared" si="67"/>
        <v>1.7687499999999998E-2</v>
      </c>
      <c r="J250" s="5">
        <v>1.05</v>
      </c>
      <c r="K250" s="5">
        <v>0</v>
      </c>
      <c r="L250" s="5">
        <v>0</v>
      </c>
      <c r="N250" s="5">
        <f t="shared" si="59"/>
        <v>140</v>
      </c>
      <c r="O250" s="97">
        <f t="shared" si="60"/>
        <v>181.81818181818184</v>
      </c>
      <c r="P250" s="5">
        <f t="shared" si="61"/>
        <v>1.02</v>
      </c>
      <c r="R250" s="96">
        <f t="shared" si="62"/>
        <v>4.1332894328221466</v>
      </c>
      <c r="S250" s="95">
        <f t="shared" si="63"/>
        <v>0.9778946839630519</v>
      </c>
      <c r="T250" s="96">
        <f t="shared" si="64"/>
        <v>60.099071555555561</v>
      </c>
      <c r="U250" s="97"/>
      <c r="V250" s="97">
        <f t="shared" si="68"/>
        <v>52.605501872281877</v>
      </c>
      <c r="W250" s="96">
        <f t="shared" si="76"/>
        <v>58.770562585292851</v>
      </c>
      <c r="X250" s="96">
        <f t="shared" si="71"/>
        <v>0.78806611094839352</v>
      </c>
      <c r="Y250" s="96">
        <f t="shared" si="65"/>
        <v>0.98024524339695218</v>
      </c>
      <c r="Z250" s="96">
        <f t="shared" si="69"/>
        <v>314.2810516861345</v>
      </c>
      <c r="AA250" s="97">
        <f t="shared" si="72"/>
        <v>92.278948313865811</v>
      </c>
      <c r="AB250" s="97">
        <f t="shared" si="73"/>
        <v>272.27894831386612</v>
      </c>
      <c r="AC250" s="97">
        <f t="shared" si="74"/>
        <v>3503.5147366125507</v>
      </c>
      <c r="AD250" s="96"/>
      <c r="AE250" s="105">
        <f t="shared" si="66"/>
        <v>14.281051686134504</v>
      </c>
    </row>
    <row r="251" spans="5:31" x14ac:dyDescent="0.35">
      <c r="E251" s="100">
        <f t="shared" si="75"/>
        <v>1.1729166666666937</v>
      </c>
      <c r="F251" s="5">
        <v>20</v>
      </c>
      <c r="G251" s="5">
        <f t="shared" si="70"/>
        <v>140</v>
      </c>
      <c r="H251" s="106">
        <f t="shared" si="70"/>
        <v>3.8194444444444443E-3</v>
      </c>
      <c r="I251" s="110">
        <f t="shared" si="67"/>
        <v>1.7687499999999998E-2</v>
      </c>
      <c r="J251" s="5">
        <v>1.05</v>
      </c>
      <c r="K251" s="5">
        <v>0</v>
      </c>
      <c r="L251" s="5">
        <v>0</v>
      </c>
      <c r="N251" s="5">
        <f t="shared" si="59"/>
        <v>140</v>
      </c>
      <c r="O251" s="97">
        <f t="shared" si="60"/>
        <v>181.81818181818184</v>
      </c>
      <c r="P251" s="5">
        <f t="shared" si="61"/>
        <v>1.02</v>
      </c>
      <c r="R251" s="96">
        <f t="shared" si="62"/>
        <v>4.1332894328221466</v>
      </c>
      <c r="S251" s="95">
        <f t="shared" si="63"/>
        <v>0.9777321295758935</v>
      </c>
      <c r="T251" s="96">
        <f t="shared" si="64"/>
        <v>60.099071555555561</v>
      </c>
      <c r="U251" s="97"/>
      <c r="V251" s="97">
        <f t="shared" si="68"/>
        <v>52.605501872281877</v>
      </c>
      <c r="W251" s="96">
        <f t="shared" si="76"/>
        <v>58.760793217547345</v>
      </c>
      <c r="X251" s="96">
        <f t="shared" si="71"/>
        <v>0.78734278948779957</v>
      </c>
      <c r="Y251" s="96">
        <f t="shared" si="65"/>
        <v>0.9720324985106743</v>
      </c>
      <c r="Z251" s="96">
        <f t="shared" si="69"/>
        <v>315.25308418464516</v>
      </c>
      <c r="AA251" s="97">
        <f t="shared" si="72"/>
        <v>91.30691581535514</v>
      </c>
      <c r="AB251" s="97">
        <f t="shared" si="73"/>
        <v>271.30691581535547</v>
      </c>
      <c r="AC251" s="97">
        <f t="shared" si="74"/>
        <v>3517.5589032515441</v>
      </c>
      <c r="AD251" s="96"/>
      <c r="AE251" s="105">
        <f t="shared" si="66"/>
        <v>15.253084184645161</v>
      </c>
    </row>
    <row r="252" spans="5:31" x14ac:dyDescent="0.35">
      <c r="E252" s="100">
        <f t="shared" si="75"/>
        <v>1.1736111111111382</v>
      </c>
      <c r="F252" s="5">
        <v>20</v>
      </c>
      <c r="G252" s="5">
        <f t="shared" si="70"/>
        <v>140</v>
      </c>
      <c r="H252" s="106">
        <f t="shared" si="70"/>
        <v>3.8194444444444443E-3</v>
      </c>
      <c r="I252" s="110">
        <f t="shared" si="67"/>
        <v>1.7687499999999998E-2</v>
      </c>
      <c r="J252" s="5">
        <v>1.05</v>
      </c>
      <c r="K252" s="5">
        <v>0</v>
      </c>
      <c r="L252" s="5">
        <v>0</v>
      </c>
      <c r="N252" s="5">
        <f t="shared" si="59"/>
        <v>140</v>
      </c>
      <c r="O252" s="97">
        <f t="shared" si="60"/>
        <v>181.81818181818184</v>
      </c>
      <c r="P252" s="5">
        <f t="shared" si="61"/>
        <v>1.02</v>
      </c>
      <c r="R252" s="96">
        <f t="shared" si="62"/>
        <v>4.1332894328221466</v>
      </c>
      <c r="S252" s="95">
        <f t="shared" si="63"/>
        <v>0.97757093711088772</v>
      </c>
      <c r="T252" s="96">
        <f t="shared" si="64"/>
        <v>60.099071555555561</v>
      </c>
      <c r="U252" s="97"/>
      <c r="V252" s="97">
        <f t="shared" si="68"/>
        <v>52.605501872281877</v>
      </c>
      <c r="W252" s="96">
        <f t="shared" si="76"/>
        <v>58.751105700058744</v>
      </c>
      <c r="X252" s="96">
        <f t="shared" si="71"/>
        <v>0.78662552819905207</v>
      </c>
      <c r="Y252" s="96">
        <f t="shared" si="65"/>
        <v>0.96389120521703231</v>
      </c>
      <c r="Z252" s="96">
        <f t="shared" si="69"/>
        <v>316.21697538986217</v>
      </c>
      <c r="AA252" s="97">
        <f t="shared" si="72"/>
        <v>90.343024610138102</v>
      </c>
      <c r="AB252" s="97">
        <f t="shared" si="73"/>
        <v>270.34302461013846</v>
      </c>
      <c r="AC252" s="97">
        <f t="shared" si="74"/>
        <v>3531.6007545182883</v>
      </c>
      <c r="AD252" s="96"/>
      <c r="AE252" s="105">
        <f t="shared" si="66"/>
        <v>16.216975389862171</v>
      </c>
    </row>
    <row r="253" spans="5:31" x14ac:dyDescent="0.35">
      <c r="E253" s="100">
        <f t="shared" si="75"/>
        <v>1.1743055555555828</v>
      </c>
      <c r="F253" s="5">
        <v>20</v>
      </c>
      <c r="G253" s="5">
        <f t="shared" si="70"/>
        <v>140</v>
      </c>
      <c r="H253" s="106">
        <f t="shared" si="70"/>
        <v>3.8194444444444443E-3</v>
      </c>
      <c r="I253" s="110">
        <f t="shared" si="67"/>
        <v>1.7687499999999998E-2</v>
      </c>
      <c r="J253" s="5">
        <v>1.05</v>
      </c>
      <c r="K253" s="5">
        <v>0</v>
      </c>
      <c r="L253" s="5">
        <v>0</v>
      </c>
      <c r="N253" s="5">
        <f t="shared" si="59"/>
        <v>140</v>
      </c>
      <c r="O253" s="97">
        <f t="shared" si="60"/>
        <v>181.81818181818184</v>
      </c>
      <c r="P253" s="5">
        <f t="shared" si="61"/>
        <v>1.02</v>
      </c>
      <c r="R253" s="96">
        <f t="shared" si="62"/>
        <v>4.1332894328221466</v>
      </c>
      <c r="S253" s="95">
        <f t="shared" si="63"/>
        <v>0.97741109471919363</v>
      </c>
      <c r="T253" s="96">
        <f t="shared" si="64"/>
        <v>60.099071555555561</v>
      </c>
      <c r="U253" s="97"/>
      <c r="V253" s="97">
        <f t="shared" si="68"/>
        <v>52.605501872281877</v>
      </c>
      <c r="W253" s="96">
        <f t="shared" si="76"/>
        <v>58.74149932072271</v>
      </c>
      <c r="X253" s="96">
        <f t="shared" si="71"/>
        <v>0.78591427435813044</v>
      </c>
      <c r="Y253" s="96">
        <f t="shared" si="65"/>
        <v>0.95582069864555042</v>
      </c>
      <c r="Z253" s="96">
        <f t="shared" si="69"/>
        <v>317.17279608850771</v>
      </c>
      <c r="AA253" s="97">
        <f t="shared" si="72"/>
        <v>89.387203911492549</v>
      </c>
      <c r="AB253" s="97">
        <f t="shared" si="73"/>
        <v>269.38720391149292</v>
      </c>
      <c r="AC253" s="97">
        <f t="shared" si="74"/>
        <v>3545.6403098052679</v>
      </c>
      <c r="AD253" s="96"/>
      <c r="AE253" s="105">
        <f t="shared" si="66"/>
        <v>17.17279608850771</v>
      </c>
    </row>
    <row r="254" spans="5:31" x14ac:dyDescent="0.35">
      <c r="E254" s="100">
        <f t="shared" si="75"/>
        <v>1.1750000000000274</v>
      </c>
      <c r="F254" s="5">
        <v>20</v>
      </c>
      <c r="G254" s="5">
        <f t="shared" si="70"/>
        <v>140</v>
      </c>
      <c r="H254" s="106">
        <f t="shared" si="70"/>
        <v>3.8194444444444443E-3</v>
      </c>
      <c r="I254" s="110">
        <f t="shared" si="67"/>
        <v>1.7687499999999998E-2</v>
      </c>
      <c r="J254" s="5">
        <v>1.05</v>
      </c>
      <c r="K254" s="5">
        <v>0</v>
      </c>
      <c r="L254" s="5">
        <v>0</v>
      </c>
      <c r="N254" s="5">
        <f t="shared" si="59"/>
        <v>140</v>
      </c>
      <c r="O254" s="97">
        <f t="shared" si="60"/>
        <v>181.81818181818184</v>
      </c>
      <c r="P254" s="5">
        <f t="shared" si="61"/>
        <v>1.02</v>
      </c>
      <c r="R254" s="96">
        <f t="shared" si="62"/>
        <v>4.1332894328221466</v>
      </c>
      <c r="S254" s="95">
        <f t="shared" si="63"/>
        <v>0.97725259066222614</v>
      </c>
      <c r="T254" s="96">
        <f t="shared" si="64"/>
        <v>60.099071555555561</v>
      </c>
      <c r="U254" s="97"/>
      <c r="V254" s="97">
        <f t="shared" si="68"/>
        <v>52.605501872281877</v>
      </c>
      <c r="W254" s="96">
        <f t="shared" si="76"/>
        <v>58.731973374061177</v>
      </c>
      <c r="X254" s="96">
        <f t="shared" si="71"/>
        <v>0.78520897573162096</v>
      </c>
      <c r="Y254" s="96">
        <f t="shared" si="65"/>
        <v>0.94782032081450562</v>
      </c>
      <c r="Z254" s="96">
        <f t="shared" si="69"/>
        <v>318.12061640932222</v>
      </c>
      <c r="AA254" s="97">
        <f t="shared" si="72"/>
        <v>88.439383590678048</v>
      </c>
      <c r="AB254" s="97">
        <f t="shared" si="73"/>
        <v>268.4393835906784</v>
      </c>
      <c r="AC254" s="97">
        <f t="shared" si="74"/>
        <v>3559.6775883363534</v>
      </c>
      <c r="AD254" s="96"/>
      <c r="AE254" s="105">
        <f t="shared" si="66"/>
        <v>18.120616409322224</v>
      </c>
    </row>
    <row r="255" spans="5:31" x14ac:dyDescent="0.35">
      <c r="E255" s="100">
        <f t="shared" si="75"/>
        <v>1.1756944444444719</v>
      </c>
      <c r="F255" s="5">
        <v>20</v>
      </c>
      <c r="G255" s="5">
        <f t="shared" si="70"/>
        <v>140</v>
      </c>
      <c r="H255" s="106">
        <f t="shared" si="70"/>
        <v>3.8194444444444443E-3</v>
      </c>
      <c r="I255" s="110">
        <f t="shared" si="67"/>
        <v>1.7687499999999998E-2</v>
      </c>
      <c r="J255" s="5">
        <v>1.05</v>
      </c>
      <c r="K255" s="5">
        <v>0</v>
      </c>
      <c r="L255" s="5">
        <v>0</v>
      </c>
      <c r="N255" s="5">
        <f t="shared" si="59"/>
        <v>140</v>
      </c>
      <c r="O255" s="97">
        <f t="shared" si="60"/>
        <v>181.81818181818184</v>
      </c>
      <c r="P255" s="5">
        <f t="shared" si="61"/>
        <v>1.02</v>
      </c>
      <c r="R255" s="96">
        <f t="shared" si="62"/>
        <v>4.1332894328221466</v>
      </c>
      <c r="S255" s="95">
        <f t="shared" si="63"/>
        <v>0.97709541331051331</v>
      </c>
      <c r="T255" s="96">
        <f t="shared" si="64"/>
        <v>60.099071555555561</v>
      </c>
      <c r="U255" s="97"/>
      <c r="V255" s="97">
        <f t="shared" si="68"/>
        <v>52.605501872281877</v>
      </c>
      <c r="W255" s="96">
        <f t="shared" si="76"/>
        <v>58.722527161153671</v>
      </c>
      <c r="X255" s="96">
        <f t="shared" si="71"/>
        <v>0.78450958057163389</v>
      </c>
      <c r="Y255" s="96">
        <f t="shared" si="65"/>
        <v>0.93988942054838598</v>
      </c>
      <c r="Z255" s="96">
        <f t="shared" si="69"/>
        <v>319.06050582987064</v>
      </c>
      <c r="AA255" s="97">
        <f t="shared" si="72"/>
        <v>87.499494170129665</v>
      </c>
      <c r="AB255" s="97">
        <f t="shared" si="73"/>
        <v>267.49949417012999</v>
      </c>
      <c r="AC255" s="97">
        <f t="shared" si="74"/>
        <v>3573.712609168369</v>
      </c>
      <c r="AD255" s="96"/>
      <c r="AE255" s="105">
        <f t="shared" si="66"/>
        <v>19.060505829870635</v>
      </c>
    </row>
    <row r="256" spans="5:31" x14ac:dyDescent="0.35">
      <c r="E256" s="100">
        <f t="shared" si="75"/>
        <v>1.1763888888889165</v>
      </c>
      <c r="F256" s="5">
        <v>20</v>
      </c>
      <c r="G256" s="5">
        <f t="shared" si="70"/>
        <v>140</v>
      </c>
      <c r="H256" s="106">
        <f t="shared" si="70"/>
        <v>3.8194444444444443E-3</v>
      </c>
      <c r="I256" s="110">
        <f t="shared" si="67"/>
        <v>1.7687499999999998E-2</v>
      </c>
      <c r="J256" s="5">
        <v>1.05</v>
      </c>
      <c r="K256" s="5">
        <v>0</v>
      </c>
      <c r="L256" s="5">
        <v>0</v>
      </c>
      <c r="N256" s="5">
        <f t="shared" si="59"/>
        <v>140</v>
      </c>
      <c r="O256" s="97">
        <f t="shared" si="60"/>
        <v>181.81818181818184</v>
      </c>
      <c r="P256" s="5">
        <f t="shared" si="61"/>
        <v>1.02</v>
      </c>
      <c r="R256" s="96">
        <f t="shared" si="62"/>
        <v>4.1332894328221466</v>
      </c>
      <c r="S256" s="95">
        <f t="shared" si="63"/>
        <v>0.97693955114256814</v>
      </c>
      <c r="T256" s="96">
        <f t="shared" si="64"/>
        <v>60.099071555555561</v>
      </c>
      <c r="U256" s="97"/>
      <c r="V256" s="97">
        <f t="shared" si="68"/>
        <v>52.605501872281877</v>
      </c>
      <c r="W256" s="96">
        <f t="shared" si="76"/>
        <v>58.713159989569533</v>
      </c>
      <c r="X256" s="96">
        <f t="shared" si="71"/>
        <v>0.78381603761078056</v>
      </c>
      <c r="Y256" s="96">
        <f t="shared" si="65"/>
        <v>0.93202735339650367</v>
      </c>
      <c r="Z256" s="96">
        <f t="shared" si="69"/>
        <v>319.99253318326714</v>
      </c>
      <c r="AA256" s="97">
        <f t="shared" si="72"/>
        <v>86.567466816733159</v>
      </c>
      <c r="AB256" s="97">
        <f t="shared" si="73"/>
        <v>266.56746681673349</v>
      </c>
      <c r="AC256" s="97">
        <f t="shared" si="74"/>
        <v>3587.7453911926445</v>
      </c>
      <c r="AD256" s="96"/>
      <c r="AE256" s="105">
        <f t="shared" si="66"/>
        <v>19.992533183267142</v>
      </c>
    </row>
    <row r="257" spans="5:31" x14ac:dyDescent="0.35">
      <c r="E257" s="100">
        <f t="shared" si="75"/>
        <v>1.177083333333361</v>
      </c>
      <c r="F257" s="5">
        <v>20</v>
      </c>
      <c r="G257" s="5">
        <f t="shared" si="70"/>
        <v>140</v>
      </c>
      <c r="H257" s="106">
        <f t="shared" si="70"/>
        <v>3.8194444444444443E-3</v>
      </c>
      <c r="I257" s="110">
        <f t="shared" si="67"/>
        <v>1.7687499999999998E-2</v>
      </c>
      <c r="J257" s="5">
        <v>1.05</v>
      </c>
      <c r="K257" s="5">
        <v>0</v>
      </c>
      <c r="L257" s="5">
        <v>0</v>
      </c>
      <c r="N257" s="5">
        <f t="shared" si="59"/>
        <v>140</v>
      </c>
      <c r="O257" s="97">
        <f t="shared" si="60"/>
        <v>181.81818181818184</v>
      </c>
      <c r="P257" s="5">
        <f t="shared" si="61"/>
        <v>1.02</v>
      </c>
      <c r="R257" s="96">
        <f t="shared" si="62"/>
        <v>4.1332894328221466</v>
      </c>
      <c r="S257" s="95">
        <f t="shared" si="63"/>
        <v>0.97678499274377284</v>
      </c>
      <c r="T257" s="96">
        <f t="shared" si="64"/>
        <v>60.099071555555561</v>
      </c>
      <c r="U257" s="97"/>
      <c r="V257" s="97">
        <f t="shared" si="68"/>
        <v>52.605501872281877</v>
      </c>
      <c r="W257" s="96">
        <f t="shared" si="76"/>
        <v>58.703871173300826</v>
      </c>
      <c r="X257" s="96">
        <f t="shared" si="71"/>
        <v>0.78312829605721168</v>
      </c>
      <c r="Y257" s="96">
        <f t="shared" si="65"/>
        <v>0.9242334815527592</v>
      </c>
      <c r="Z257" s="96">
        <f t="shared" si="69"/>
        <v>320.91676666481987</v>
      </c>
      <c r="AA257" s="97">
        <f t="shared" si="72"/>
        <v>85.643233335180398</v>
      </c>
      <c r="AB257" s="97">
        <f t="shared" si="73"/>
        <v>265.64323333518075</v>
      </c>
      <c r="AC257" s="97">
        <f t="shared" si="74"/>
        <v>3601.77595313655</v>
      </c>
      <c r="AD257" s="96"/>
      <c r="AE257" s="105">
        <f t="shared" si="66"/>
        <v>20.916766664819875</v>
      </c>
    </row>
    <row r="258" spans="5:31" x14ac:dyDescent="0.35">
      <c r="E258" s="100">
        <f t="shared" si="75"/>
        <v>1.1777777777778056</v>
      </c>
      <c r="F258" s="5">
        <v>20</v>
      </c>
      <c r="G258" s="5">
        <f t="shared" si="70"/>
        <v>140</v>
      </c>
      <c r="H258" s="106">
        <f t="shared" si="70"/>
        <v>3.8194444444444443E-3</v>
      </c>
      <c r="I258" s="110">
        <f t="shared" si="67"/>
        <v>1.7687499999999998E-2</v>
      </c>
      <c r="J258" s="5">
        <v>1.05</v>
      </c>
      <c r="K258" s="5">
        <v>0</v>
      </c>
      <c r="L258" s="5">
        <v>0</v>
      </c>
      <c r="N258" s="5">
        <f t="shared" si="59"/>
        <v>140</v>
      </c>
      <c r="O258" s="97">
        <f t="shared" si="60"/>
        <v>181.81818181818184</v>
      </c>
      <c r="P258" s="5">
        <f t="shared" si="61"/>
        <v>1.02</v>
      </c>
      <c r="R258" s="96">
        <f t="shared" si="62"/>
        <v>4.1332894328221466</v>
      </c>
      <c r="S258" s="95">
        <f t="shared" si="63"/>
        <v>0.97663172680527743</v>
      </c>
      <c r="T258" s="96">
        <f t="shared" si="64"/>
        <v>60.099071555555561</v>
      </c>
      <c r="U258" s="97"/>
      <c r="V258" s="97">
        <f t="shared" si="68"/>
        <v>52.605501872281877</v>
      </c>
      <c r="W258" s="96">
        <f t="shared" si="76"/>
        <v>58.694660032696156</v>
      </c>
      <c r="X258" s="96">
        <f t="shared" si="71"/>
        <v>0.78244630558971417</v>
      </c>
      <c r="Y258" s="96">
        <f t="shared" si="65"/>
        <v>0.91650717377652513</v>
      </c>
      <c r="Z258" s="96">
        <f t="shared" si="69"/>
        <v>321.83327383859643</v>
      </c>
      <c r="AA258" s="97">
        <f t="shared" si="72"/>
        <v>84.726726161403874</v>
      </c>
      <c r="AB258" s="97">
        <f t="shared" si="73"/>
        <v>264.7267261614042</v>
      </c>
      <c r="AC258" s="97">
        <f t="shared" si="74"/>
        <v>3615.8043135650146</v>
      </c>
      <c r="AD258" s="96"/>
      <c r="AE258" s="105">
        <f t="shared" si="66"/>
        <v>21.833273838596426</v>
      </c>
    </row>
    <row r="259" spans="5:31" x14ac:dyDescent="0.35">
      <c r="E259" s="100">
        <f t="shared" si="75"/>
        <v>1.1784722222222501</v>
      </c>
      <c r="F259" s="5">
        <v>20</v>
      </c>
      <c r="G259" s="5">
        <f t="shared" si="70"/>
        <v>140</v>
      </c>
      <c r="H259" s="106">
        <f t="shared" si="70"/>
        <v>3.8194444444444443E-3</v>
      </c>
      <c r="I259" s="110">
        <f t="shared" si="67"/>
        <v>1.7687499999999998E-2</v>
      </c>
      <c r="J259" s="5">
        <v>1.05</v>
      </c>
      <c r="K259" s="5">
        <v>0</v>
      </c>
      <c r="L259" s="5">
        <v>0</v>
      </c>
      <c r="N259" s="5">
        <f t="shared" ref="N259:N322" si="77">G259*(1-0.0015*MAX(0,F259-24))*1</f>
        <v>140</v>
      </c>
      <c r="O259" s="97">
        <f t="shared" ref="O259:O322" si="78">1/((MINUTE(H259)*60+SECOND(H259))/60/1000)</f>
        <v>181.81818181818184</v>
      </c>
      <c r="P259" s="5">
        <f t="shared" ref="P259:P322" si="79">1+MIN(0.25, IF(HOUR(E259)&lt;12,0.005*HOUR(E259), IF(HOUR(E259)&lt;24,MIN(0.1,0.005*HOUR(E259)+0.0025*HOUR(E259)),0.1))  +  (K259/300)*0.01  +  (L259/300)*0.02)</f>
        <v>1.02</v>
      </c>
      <c r="R259" s="96">
        <f t="shared" ref="R259:R322" si="80">(155.4*POWER(I259,5) - 30.4*POWER(I259,4) - 43.3*POWER(I259,3) + 46.3*POWER(I259,2) + 19.5*I259 + $C$31)*J259*P259</f>
        <v>4.1332894328221466</v>
      </c>
      <c r="S259" s="95">
        <f t="shared" ref="S259:S322" si="81">(1.106*X259+3.941)/(1.106*MAX(0.7,(0.7+0.3*(G259-$C$16)/($C$17-$C$16)))+3.941)</f>
        <v>0.97647974212291044</v>
      </c>
      <c r="T259" s="96">
        <f t="shared" ref="T259:T322" si="82">IF($C$12=1, -95.7735+(0.634*N259)+(0.404*$C$19)+(0.394*$C$14)+(0.271*$C$13), -59.3954+(0.45*N259)+(0.38*$C$19)+(0.103*$C$14)+(0.274*$C$13))+$C$30</f>
        <v>60.099071555555561</v>
      </c>
      <c r="U259" s="97"/>
      <c r="V259" s="97">
        <f t="shared" si="68"/>
        <v>52.605501872281877</v>
      </c>
      <c r="W259" s="96">
        <f t="shared" si="76"/>
        <v>58.685525894395234</v>
      </c>
      <c r="X259" s="96">
        <f t="shared" si="71"/>
        <v>0.78177001635286603</v>
      </c>
      <c r="Y259" s="96">
        <f t="shared" ref="Y259:Y322" si="83">(MAX(V259,W259) * (X259-0.7)/0.3)/17.6</f>
        <v>0.9088478053146295</v>
      </c>
      <c r="Z259" s="96">
        <f t="shared" si="69"/>
        <v>322.74212164391105</v>
      </c>
      <c r="AA259" s="97">
        <f t="shared" si="72"/>
        <v>83.817878356089238</v>
      </c>
      <c r="AB259" s="97">
        <f t="shared" si="73"/>
        <v>263.81787835608958</v>
      </c>
      <c r="AC259" s="97">
        <f t="shared" si="74"/>
        <v>3629.8304908820305</v>
      </c>
      <c r="AD259" s="96"/>
      <c r="AE259" s="105">
        <f t="shared" ref="AE259:AE322" si="84">MOD(Z259,30)</f>
        <v>22.742121643911048</v>
      </c>
    </row>
    <row r="260" spans="5:31" x14ac:dyDescent="0.35">
      <c r="E260" s="100">
        <f t="shared" si="75"/>
        <v>1.1791666666666947</v>
      </c>
      <c r="F260" s="5">
        <v>20</v>
      </c>
      <c r="G260" s="5">
        <f t="shared" si="70"/>
        <v>140</v>
      </c>
      <c r="H260" s="106">
        <f t="shared" si="70"/>
        <v>3.8194444444444443E-3</v>
      </c>
      <c r="I260" s="110">
        <f t="shared" ref="I260:I323" si="85">(140+143)/16000</f>
        <v>1.7687499999999998E-2</v>
      </c>
      <c r="J260" s="5">
        <v>1.05</v>
      </c>
      <c r="K260" s="5">
        <v>0</v>
      </c>
      <c r="L260" s="5">
        <v>0</v>
      </c>
      <c r="N260" s="5">
        <f t="shared" si="77"/>
        <v>140</v>
      </c>
      <c r="O260" s="97">
        <f t="shared" si="78"/>
        <v>181.81818181818184</v>
      </c>
      <c r="P260" s="5">
        <f t="shared" si="79"/>
        <v>1.02</v>
      </c>
      <c r="R260" s="96">
        <f t="shared" si="80"/>
        <v>4.1332894328221466</v>
      </c>
      <c r="S260" s="95">
        <f t="shared" si="81"/>
        <v>0.97632902759610374</v>
      </c>
      <c r="T260" s="96">
        <f t="shared" si="82"/>
        <v>60.099071555555561</v>
      </c>
      <c r="U260" s="97"/>
      <c r="V260" s="97">
        <f t="shared" ref="V260:V323" si="86">O260*R260*$C$14/1000</f>
        <v>52.605501872281877</v>
      </c>
      <c r="W260" s="96">
        <f t="shared" si="76"/>
        <v>58.676468091264219</v>
      </c>
      <c r="X260" s="96">
        <f t="shared" si="71"/>
        <v>0.78109937895225012</v>
      </c>
      <c r="Y260" s="96">
        <f t="shared" si="83"/>
        <v>0.90125475782444175</v>
      </c>
      <c r="Z260" s="96">
        <f t="shared" ref="Z260:Z323" si="87">Z259+Y260</f>
        <v>323.64337640173551</v>
      </c>
      <c r="AA260" s="97">
        <f t="shared" si="72"/>
        <v>82.916623598264792</v>
      </c>
      <c r="AB260" s="97">
        <f t="shared" si="73"/>
        <v>262.91662359826512</v>
      </c>
      <c r="AC260" s="97">
        <f t="shared" si="74"/>
        <v>3643.8545033321416</v>
      </c>
      <c r="AD260" s="96"/>
      <c r="AE260" s="105">
        <f t="shared" si="84"/>
        <v>23.643376401735509</v>
      </c>
    </row>
    <row r="261" spans="5:31" x14ac:dyDescent="0.35">
      <c r="E261" s="100">
        <f t="shared" si="75"/>
        <v>1.1798611111111392</v>
      </c>
      <c r="F261" s="5">
        <v>20</v>
      </c>
      <c r="G261" s="5">
        <f t="shared" ref="G261:H324" si="88">G260</f>
        <v>140</v>
      </c>
      <c r="H261" s="106">
        <f t="shared" si="88"/>
        <v>3.8194444444444443E-3</v>
      </c>
      <c r="I261" s="110">
        <f t="shared" si="85"/>
        <v>1.7687499999999998E-2</v>
      </c>
      <c r="J261" s="5">
        <v>1.05</v>
      </c>
      <c r="K261" s="5">
        <v>0</v>
      </c>
      <c r="L261" s="5">
        <v>0</v>
      </c>
      <c r="N261" s="5">
        <f t="shared" si="77"/>
        <v>140</v>
      </c>
      <c r="O261" s="97">
        <f t="shared" si="78"/>
        <v>181.81818181818184</v>
      </c>
      <c r="P261" s="5">
        <f t="shared" si="79"/>
        <v>1.02</v>
      </c>
      <c r="R261" s="96">
        <f t="shared" si="80"/>
        <v>4.1332894328221466</v>
      </c>
      <c r="S261" s="95">
        <f t="shared" si="81"/>
        <v>0.97617957222682905</v>
      </c>
      <c r="T261" s="96">
        <f t="shared" si="82"/>
        <v>60.099071555555561</v>
      </c>
      <c r="U261" s="97"/>
      <c r="V261" s="97">
        <f t="shared" si="86"/>
        <v>52.605501872281877</v>
      </c>
      <c r="W261" s="96">
        <f t="shared" si="76"/>
        <v>58.667485962331817</v>
      </c>
      <c r="X261" s="96">
        <f t="shared" ref="X261:X324" si="89">MAX(0.7, (0.7+0.3*(G261-$C$16)/($C$17-$C$16)) - 0.3*($C$29-AB260)/$C$29)</f>
        <v>0.78043434444972326</v>
      </c>
      <c r="Y261" s="96">
        <f t="shared" si="83"/>
        <v>0.89372741929801214</v>
      </c>
      <c r="Z261" s="96">
        <f t="shared" si="87"/>
        <v>324.5371038210335</v>
      </c>
      <c r="AA261" s="97">
        <f t="shared" ref="AA261:AA324" si="90">AA260-Y261</f>
        <v>82.022896178966775</v>
      </c>
      <c r="AB261" s="97">
        <f t="shared" ref="AB261:AB324" si="91">AB260-Y261+IF(MOD(60*HOUR(E261)+MINUTE(E261),MINUTE($C$35))=0,$C$34,0)</f>
        <v>262.02289617896713</v>
      </c>
      <c r="AC261" s="97">
        <f t="shared" ref="AC261:AC324" si="92">MAX(V261,W261)/4.184+AC260</f>
        <v>3657.876369001915</v>
      </c>
      <c r="AD261" s="96"/>
      <c r="AE261" s="105">
        <f t="shared" si="84"/>
        <v>24.537103821033497</v>
      </c>
    </row>
    <row r="262" spans="5:31" x14ac:dyDescent="0.35">
      <c r="E262" s="100">
        <f t="shared" si="75"/>
        <v>1.1805555555555838</v>
      </c>
      <c r="F262" s="5">
        <v>20</v>
      </c>
      <c r="G262" s="5">
        <f t="shared" si="88"/>
        <v>140</v>
      </c>
      <c r="H262" s="106">
        <f t="shared" si="88"/>
        <v>3.8194444444444443E-3</v>
      </c>
      <c r="I262" s="110">
        <f t="shared" si="85"/>
        <v>1.7687499999999998E-2</v>
      </c>
      <c r="J262" s="5">
        <v>1.05</v>
      </c>
      <c r="K262" s="5">
        <v>0</v>
      </c>
      <c r="L262" s="5">
        <v>0</v>
      </c>
      <c r="N262" s="5">
        <f t="shared" si="77"/>
        <v>140</v>
      </c>
      <c r="O262" s="97">
        <f t="shared" si="78"/>
        <v>181.81818181818184</v>
      </c>
      <c r="P262" s="5">
        <f t="shared" si="79"/>
        <v>1.02</v>
      </c>
      <c r="R262" s="96">
        <f t="shared" si="80"/>
        <v>4.1332894328221466</v>
      </c>
      <c r="S262" s="95">
        <f t="shared" si="81"/>
        <v>0.97603136511854749</v>
      </c>
      <c r="T262" s="96">
        <f t="shared" si="82"/>
        <v>60.099071555555561</v>
      </c>
      <c r="U262" s="97"/>
      <c r="V262" s="97">
        <f t="shared" si="86"/>
        <v>52.605501872281877</v>
      </c>
      <c r="W262" s="96">
        <f t="shared" si="76"/>
        <v>58.658578852726158</v>
      </c>
      <c r="X262" s="96">
        <f t="shared" si="89"/>
        <v>0.77977486435874188</v>
      </c>
      <c r="Y262" s="96">
        <f t="shared" si="83"/>
        <v>0.88626518398727205</v>
      </c>
      <c r="Z262" s="96">
        <f t="shared" si="87"/>
        <v>325.42336900502079</v>
      </c>
      <c r="AA262" s="97">
        <f t="shared" si="90"/>
        <v>81.136630994979498</v>
      </c>
      <c r="AB262" s="97">
        <f t="shared" si="91"/>
        <v>261.13663099497984</v>
      </c>
      <c r="AC262" s="97">
        <f t="shared" si="92"/>
        <v>3671.8961058214004</v>
      </c>
      <c r="AD262" s="96"/>
      <c r="AE262" s="105">
        <f t="shared" si="84"/>
        <v>25.423369005020788</v>
      </c>
    </row>
    <row r="263" spans="5:31" x14ac:dyDescent="0.35">
      <c r="E263" s="100">
        <f t="shared" si="75"/>
        <v>1.1812500000000283</v>
      </c>
      <c r="F263" s="5">
        <v>20</v>
      </c>
      <c r="G263" s="5">
        <f t="shared" si="88"/>
        <v>140</v>
      </c>
      <c r="H263" s="106">
        <f t="shared" si="88"/>
        <v>3.8194444444444443E-3</v>
      </c>
      <c r="I263" s="110">
        <f t="shared" si="85"/>
        <v>1.7687499999999998E-2</v>
      </c>
      <c r="J263" s="5">
        <v>1.05</v>
      </c>
      <c r="K263" s="5">
        <v>0</v>
      </c>
      <c r="L263" s="5">
        <v>0</v>
      </c>
      <c r="N263" s="5">
        <f t="shared" si="77"/>
        <v>140</v>
      </c>
      <c r="O263" s="97">
        <f t="shared" si="78"/>
        <v>181.81818181818184</v>
      </c>
      <c r="P263" s="5">
        <f t="shared" si="79"/>
        <v>1.02</v>
      </c>
      <c r="R263" s="96">
        <f t="shared" si="80"/>
        <v>4.1332894328221466</v>
      </c>
      <c r="S263" s="95">
        <f t="shared" si="81"/>
        <v>0.97588439547517181</v>
      </c>
      <c r="T263" s="96">
        <f t="shared" si="82"/>
        <v>60.099071555555561</v>
      </c>
      <c r="U263" s="97"/>
      <c r="V263" s="97">
        <f t="shared" si="86"/>
        <v>52.605501872281877</v>
      </c>
      <c r="W263" s="96">
        <f t="shared" si="76"/>
        <v>58.64974611361243</v>
      </c>
      <c r="X263" s="96">
        <f t="shared" si="89"/>
        <v>0.77912089063974299</v>
      </c>
      <c r="Y263" s="96">
        <f t="shared" si="83"/>
        <v>0.87886745233026953</v>
      </c>
      <c r="Z263" s="96">
        <f t="shared" si="87"/>
        <v>326.30223645735106</v>
      </c>
      <c r="AA263" s="97">
        <f t="shared" si="90"/>
        <v>80.257763542649229</v>
      </c>
      <c r="AB263" s="97">
        <f t="shared" si="91"/>
        <v>260.25776354264957</v>
      </c>
      <c r="AC263" s="97">
        <f t="shared" si="92"/>
        <v>3685.9137315655717</v>
      </c>
      <c r="AD263" s="96"/>
      <c r="AE263" s="105">
        <f t="shared" si="84"/>
        <v>26.302236457351057</v>
      </c>
    </row>
    <row r="264" spans="5:31" x14ac:dyDescent="0.35">
      <c r="E264" s="100">
        <f t="shared" si="75"/>
        <v>1.1819444444444729</v>
      </c>
      <c r="F264" s="5">
        <v>20</v>
      </c>
      <c r="G264" s="5">
        <f t="shared" si="88"/>
        <v>140</v>
      </c>
      <c r="H264" s="106">
        <f t="shared" si="88"/>
        <v>3.8194444444444443E-3</v>
      </c>
      <c r="I264" s="110">
        <f t="shared" si="85"/>
        <v>1.7687499999999998E-2</v>
      </c>
      <c r="J264" s="5">
        <v>1.05</v>
      </c>
      <c r="K264" s="5">
        <v>0</v>
      </c>
      <c r="L264" s="5">
        <v>0</v>
      </c>
      <c r="N264" s="5">
        <f t="shared" si="77"/>
        <v>140</v>
      </c>
      <c r="O264" s="97">
        <f t="shared" si="78"/>
        <v>181.81818181818184</v>
      </c>
      <c r="P264" s="5">
        <f t="shared" si="79"/>
        <v>1.02</v>
      </c>
      <c r="R264" s="96">
        <f t="shared" si="80"/>
        <v>4.1332894328221466</v>
      </c>
      <c r="S264" s="95">
        <f t="shared" si="81"/>
        <v>0.97573865260004</v>
      </c>
      <c r="T264" s="96">
        <f t="shared" si="82"/>
        <v>60.099071555555561</v>
      </c>
      <c r="U264" s="97"/>
      <c r="V264" s="97">
        <f t="shared" si="86"/>
        <v>52.605501872281877</v>
      </c>
      <c r="W264" s="96">
        <f t="shared" si="76"/>
        <v>58.64098710213117</v>
      </c>
      <c r="X264" s="96">
        <f t="shared" si="89"/>
        <v>0.77847237569557959</v>
      </c>
      <c r="Y264" s="96">
        <f t="shared" si="83"/>
        <v>0.87153363087842362</v>
      </c>
      <c r="Z264" s="96">
        <f t="shared" si="87"/>
        <v>327.1737700882295</v>
      </c>
      <c r="AA264" s="97">
        <f t="shared" si="90"/>
        <v>79.386229911770812</v>
      </c>
      <c r="AB264" s="97">
        <f t="shared" si="91"/>
        <v>259.38622991177112</v>
      </c>
      <c r="AC264" s="97">
        <f t="shared" si="92"/>
        <v>3699.9292638557558</v>
      </c>
      <c r="AD264" s="96"/>
      <c r="AE264" s="105">
        <f t="shared" si="84"/>
        <v>27.173770088229503</v>
      </c>
    </row>
    <row r="265" spans="5:31" x14ac:dyDescent="0.35">
      <c r="E265" s="100">
        <f t="shared" si="75"/>
        <v>1.1826388888889174</v>
      </c>
      <c r="F265" s="5">
        <v>20</v>
      </c>
      <c r="G265" s="5">
        <f t="shared" si="88"/>
        <v>140</v>
      </c>
      <c r="H265" s="106">
        <f t="shared" si="88"/>
        <v>3.8194444444444443E-3</v>
      </c>
      <c r="I265" s="110">
        <f t="shared" si="85"/>
        <v>1.7687499999999998E-2</v>
      </c>
      <c r="J265" s="5">
        <v>1.05</v>
      </c>
      <c r="K265" s="5">
        <v>0</v>
      </c>
      <c r="L265" s="5">
        <v>0</v>
      </c>
      <c r="N265" s="5">
        <f t="shared" si="77"/>
        <v>140</v>
      </c>
      <c r="O265" s="97">
        <f t="shared" si="78"/>
        <v>181.81818181818184</v>
      </c>
      <c r="P265" s="5">
        <f t="shared" si="79"/>
        <v>1.02</v>
      </c>
      <c r="R265" s="96">
        <f t="shared" si="80"/>
        <v>4.1332894328221466</v>
      </c>
      <c r="S265" s="95">
        <f t="shared" si="81"/>
        <v>0.97559412589490213</v>
      </c>
      <c r="T265" s="96">
        <f t="shared" si="82"/>
        <v>60.099071555555561</v>
      </c>
      <c r="U265" s="97"/>
      <c r="V265" s="97">
        <f t="shared" si="86"/>
        <v>52.605501872281877</v>
      </c>
      <c r="W265" s="96">
        <f t="shared" si="76"/>
        <v>58.632301181337404</v>
      </c>
      <c r="X265" s="96">
        <f t="shared" si="89"/>
        <v>0.77782927236700927</v>
      </c>
      <c r="Y265" s="96">
        <f t="shared" si="83"/>
        <v>0.86426313222477846</v>
      </c>
      <c r="Z265" s="96">
        <f t="shared" si="87"/>
        <v>328.03803322045428</v>
      </c>
      <c r="AA265" s="97">
        <f t="shared" si="90"/>
        <v>78.521966779546034</v>
      </c>
      <c r="AB265" s="97">
        <f t="shared" si="91"/>
        <v>258.52196677954635</v>
      </c>
      <c r="AC265" s="97">
        <f t="shared" si="92"/>
        <v>3713.942720161047</v>
      </c>
      <c r="AD265" s="96"/>
      <c r="AE265" s="105">
        <f t="shared" si="84"/>
        <v>28.038033220454281</v>
      </c>
    </row>
    <row r="266" spans="5:31" x14ac:dyDescent="0.35">
      <c r="E266" s="100">
        <f t="shared" si="75"/>
        <v>1.183333333333362</v>
      </c>
      <c r="F266" s="5">
        <v>20</v>
      </c>
      <c r="G266" s="5">
        <f t="shared" si="88"/>
        <v>140</v>
      </c>
      <c r="H266" s="106">
        <f t="shared" si="88"/>
        <v>3.8194444444444443E-3</v>
      </c>
      <c r="I266" s="110">
        <f t="shared" si="85"/>
        <v>1.7687499999999998E-2</v>
      </c>
      <c r="J266" s="5">
        <v>1.05</v>
      </c>
      <c r="K266" s="5">
        <v>0</v>
      </c>
      <c r="L266" s="5">
        <v>0</v>
      </c>
      <c r="N266" s="5">
        <f t="shared" si="77"/>
        <v>140</v>
      </c>
      <c r="O266" s="97">
        <f t="shared" si="78"/>
        <v>181.81818181818184</v>
      </c>
      <c r="P266" s="5">
        <f t="shared" si="79"/>
        <v>1.02</v>
      </c>
      <c r="R266" s="96">
        <f t="shared" si="80"/>
        <v>4.1332894328221466</v>
      </c>
      <c r="S266" s="95">
        <f t="shared" si="81"/>
        <v>0.97545080485891777</v>
      </c>
      <c r="T266" s="96">
        <f t="shared" si="82"/>
        <v>60.099071555555561</v>
      </c>
      <c r="U266" s="97"/>
      <c r="V266" s="97">
        <f t="shared" si="86"/>
        <v>52.605501872281877</v>
      </c>
      <c r="W266" s="96">
        <f t="shared" si="76"/>
        <v>58.62368772014036</v>
      </c>
      <c r="X266" s="96">
        <f t="shared" si="89"/>
        <v>0.77719153392823659</v>
      </c>
      <c r="Y266" s="96">
        <f t="shared" si="83"/>
        <v>0.85705537493325079</v>
      </c>
      <c r="Z266" s="96">
        <f t="shared" si="87"/>
        <v>328.89508859538751</v>
      </c>
      <c r="AA266" s="97">
        <f t="shared" si="90"/>
        <v>77.664911404612781</v>
      </c>
      <c r="AB266" s="97">
        <f t="shared" si="91"/>
        <v>257.66491140461312</v>
      </c>
      <c r="AC266" s="97">
        <f t="shared" si="92"/>
        <v>3727.9541177997039</v>
      </c>
      <c r="AD266" s="96"/>
      <c r="AE266" s="105">
        <f t="shared" si="84"/>
        <v>28.895088595387506</v>
      </c>
    </row>
    <row r="267" spans="5:31" x14ac:dyDescent="0.35">
      <c r="E267" s="100">
        <f t="shared" si="75"/>
        <v>1.1840277777778065</v>
      </c>
      <c r="F267" s="5">
        <v>20</v>
      </c>
      <c r="G267" s="5">
        <f t="shared" si="88"/>
        <v>140</v>
      </c>
      <c r="H267" s="106">
        <f t="shared" si="88"/>
        <v>3.8194444444444443E-3</v>
      </c>
      <c r="I267" s="110">
        <f t="shared" si="85"/>
        <v>1.7687499999999998E-2</v>
      </c>
      <c r="J267" s="5">
        <v>1.05</v>
      </c>
      <c r="K267" s="5">
        <v>0</v>
      </c>
      <c r="L267" s="5">
        <v>0</v>
      </c>
      <c r="N267" s="5">
        <f t="shared" si="77"/>
        <v>140</v>
      </c>
      <c r="O267" s="97">
        <f t="shared" si="78"/>
        <v>181.81818181818184</v>
      </c>
      <c r="P267" s="5">
        <f t="shared" si="79"/>
        <v>1.02</v>
      </c>
      <c r="R267" s="96">
        <f t="shared" si="80"/>
        <v>4.1332894328221466</v>
      </c>
      <c r="S267" s="95">
        <f t="shared" si="81"/>
        <v>0.97530867908766683</v>
      </c>
      <c r="T267" s="96">
        <f t="shared" si="82"/>
        <v>60.099071555555561</v>
      </c>
      <c r="U267" s="97"/>
      <c r="V267" s="97">
        <f t="shared" si="86"/>
        <v>52.605501872281877</v>
      </c>
      <c r="W267" s="96">
        <f t="shared" si="76"/>
        <v>58.615146093244064</v>
      </c>
      <c r="X267" s="96">
        <f t="shared" si="89"/>
        <v>0.77655911408250666</v>
      </c>
      <c r="Y267" s="96">
        <f t="shared" si="83"/>
        <v>0.84990978346883894</v>
      </c>
      <c r="Z267" s="96">
        <f t="shared" si="87"/>
        <v>329.74499837885634</v>
      </c>
      <c r="AA267" s="97">
        <f t="shared" si="90"/>
        <v>76.815001621143935</v>
      </c>
      <c r="AB267" s="97">
        <f t="shared" si="91"/>
        <v>256.81500162114429</v>
      </c>
      <c r="AC267" s="97">
        <f t="shared" si="92"/>
        <v>3741.9634739405365</v>
      </c>
      <c r="AD267" s="96"/>
      <c r="AE267" s="105">
        <f t="shared" si="84"/>
        <v>29.744998378856337</v>
      </c>
    </row>
    <row r="268" spans="5:31" x14ac:dyDescent="0.35">
      <c r="E268" s="100">
        <f t="shared" si="75"/>
        <v>1.1847222222222511</v>
      </c>
      <c r="F268" s="5">
        <v>20</v>
      </c>
      <c r="G268" s="5">
        <f t="shared" si="88"/>
        <v>140</v>
      </c>
      <c r="H268" s="106">
        <f t="shared" si="88"/>
        <v>3.8194444444444443E-3</v>
      </c>
      <c r="I268" s="110">
        <f t="shared" si="85"/>
        <v>1.7687499999999998E-2</v>
      </c>
      <c r="J268" s="5">
        <v>1.05</v>
      </c>
      <c r="K268" s="5">
        <v>0</v>
      </c>
      <c r="L268" s="5">
        <v>0</v>
      </c>
      <c r="N268" s="5">
        <f t="shared" si="77"/>
        <v>140</v>
      </c>
      <c r="O268" s="97">
        <f t="shared" si="78"/>
        <v>181.81818181818184</v>
      </c>
      <c r="P268" s="5">
        <f t="shared" si="79"/>
        <v>1.02</v>
      </c>
      <c r="R268" s="96">
        <f t="shared" si="80"/>
        <v>4.1332894328221466</v>
      </c>
      <c r="S268" s="95">
        <f t="shared" si="81"/>
        <v>0.97516773827216963</v>
      </c>
      <c r="T268" s="96">
        <f t="shared" si="82"/>
        <v>60.099071555555561</v>
      </c>
      <c r="U268" s="97"/>
      <c r="V268" s="97">
        <f t="shared" si="86"/>
        <v>52.605501872281877</v>
      </c>
      <c r="W268" s="96">
        <f t="shared" si="76"/>
        <v>58.606675681088397</v>
      </c>
      <c r="X268" s="96">
        <f t="shared" si="89"/>
        <v>0.77593196695775102</v>
      </c>
      <c r="Y268" s="96">
        <f t="shared" si="83"/>
        <v>0.84282578812879472</v>
      </c>
      <c r="Z268" s="96">
        <f t="shared" si="87"/>
        <v>330.58782416698511</v>
      </c>
      <c r="AA268" s="97">
        <f t="shared" si="90"/>
        <v>75.972175833015143</v>
      </c>
      <c r="AB268" s="97">
        <f t="shared" si="91"/>
        <v>255.97217583301548</v>
      </c>
      <c r="AC268" s="97">
        <f t="shared" si="92"/>
        <v>3755.9708056042764</v>
      </c>
      <c r="AD268" s="96"/>
      <c r="AE268" s="105">
        <f t="shared" si="84"/>
        <v>0.58782416698511497</v>
      </c>
    </row>
    <row r="269" spans="5:31" x14ac:dyDescent="0.35">
      <c r="E269" s="100">
        <f t="shared" si="75"/>
        <v>1.1854166666666957</v>
      </c>
      <c r="F269" s="5">
        <v>20</v>
      </c>
      <c r="G269" s="5">
        <f t="shared" si="88"/>
        <v>140</v>
      </c>
      <c r="H269" s="106">
        <f t="shared" si="88"/>
        <v>3.8194444444444443E-3</v>
      </c>
      <c r="I269" s="110">
        <f t="shared" si="85"/>
        <v>1.7687499999999998E-2</v>
      </c>
      <c r="J269" s="5">
        <v>1.05</v>
      </c>
      <c r="K269" s="5">
        <v>0</v>
      </c>
      <c r="L269" s="5">
        <v>0</v>
      </c>
      <c r="N269" s="5">
        <f t="shared" si="77"/>
        <v>140</v>
      </c>
      <c r="O269" s="97">
        <f t="shared" si="78"/>
        <v>181.81818181818184</v>
      </c>
      <c r="P269" s="5">
        <f t="shared" si="79"/>
        <v>1.02</v>
      </c>
      <c r="R269" s="96">
        <f t="shared" si="80"/>
        <v>4.1332894328221466</v>
      </c>
      <c r="S269" s="95">
        <f t="shared" si="81"/>
        <v>0.97502797219792103</v>
      </c>
      <c r="T269" s="96">
        <f t="shared" si="82"/>
        <v>60.099071555555561</v>
      </c>
      <c r="U269" s="97"/>
      <c r="V269" s="97">
        <f t="shared" si="86"/>
        <v>52.605501872281877</v>
      </c>
      <c r="W269" s="96">
        <f t="shared" si="76"/>
        <v>58.598275869791095</v>
      </c>
      <c r="X269" s="96">
        <f t="shared" si="89"/>
        <v>0.77531004710228402</v>
      </c>
      <c r="Y269" s="96">
        <f t="shared" si="83"/>
        <v>0.83580282497473546</v>
      </c>
      <c r="Z269" s="96">
        <f t="shared" si="87"/>
        <v>331.42362699195985</v>
      </c>
      <c r="AA269" s="97">
        <f t="shared" si="90"/>
        <v>75.136373008040408</v>
      </c>
      <c r="AB269" s="97">
        <f t="shared" si="91"/>
        <v>255.13637300804075</v>
      </c>
      <c r="AC269" s="97">
        <f t="shared" si="92"/>
        <v>3769.976129664934</v>
      </c>
      <c r="AD269" s="96"/>
      <c r="AE269" s="105">
        <f t="shared" si="84"/>
        <v>1.4236269919598499</v>
      </c>
    </row>
    <row r="270" spans="5:31" x14ac:dyDescent="0.35">
      <c r="E270" s="100">
        <f t="shared" si="75"/>
        <v>1.1861111111111402</v>
      </c>
      <c r="F270" s="5">
        <v>20</v>
      </c>
      <c r="G270" s="5">
        <f t="shared" si="88"/>
        <v>140</v>
      </c>
      <c r="H270" s="106">
        <f t="shared" si="88"/>
        <v>3.8194444444444443E-3</v>
      </c>
      <c r="I270" s="110">
        <f t="shared" si="85"/>
        <v>1.7687499999999998E-2</v>
      </c>
      <c r="J270" s="5">
        <v>1.05</v>
      </c>
      <c r="K270" s="5">
        <v>0</v>
      </c>
      <c r="L270" s="5">
        <v>0</v>
      </c>
      <c r="N270" s="5">
        <f t="shared" si="77"/>
        <v>140</v>
      </c>
      <c r="O270" s="97">
        <f t="shared" si="78"/>
        <v>181.81818181818184</v>
      </c>
      <c r="P270" s="5">
        <f t="shared" si="79"/>
        <v>1.02</v>
      </c>
      <c r="R270" s="96">
        <f t="shared" si="80"/>
        <v>4.1332894328221466</v>
      </c>
      <c r="S270" s="95">
        <f t="shared" si="81"/>
        <v>0.97488937074393378</v>
      </c>
      <c r="T270" s="96">
        <f t="shared" si="82"/>
        <v>60.099071555555561</v>
      </c>
      <c r="U270" s="97"/>
      <c r="V270" s="97">
        <f t="shared" si="86"/>
        <v>52.605501872281877</v>
      </c>
      <c r="W270" s="96">
        <f t="shared" si="76"/>
        <v>58.589946051090209</v>
      </c>
      <c r="X270" s="96">
        <f t="shared" si="89"/>
        <v>0.77469330948054949</v>
      </c>
      <c r="Y270" s="96">
        <f t="shared" si="83"/>
        <v>0.82884033576567839</v>
      </c>
      <c r="Z270" s="96">
        <f t="shared" si="87"/>
        <v>332.25246732772553</v>
      </c>
      <c r="AA270" s="97">
        <f t="shared" si="90"/>
        <v>74.307532672274732</v>
      </c>
      <c r="AB270" s="97">
        <f t="shared" si="91"/>
        <v>254.30753267227507</v>
      </c>
      <c r="AC270" s="97">
        <f t="shared" si="92"/>
        <v>3783.9794628511409</v>
      </c>
      <c r="AD270" s="96"/>
      <c r="AE270" s="105">
        <f t="shared" si="84"/>
        <v>2.252467327725526</v>
      </c>
    </row>
    <row r="271" spans="5:31" x14ac:dyDescent="0.35">
      <c r="E271" s="100">
        <f t="shared" si="75"/>
        <v>1.1868055555555848</v>
      </c>
      <c r="F271" s="5">
        <v>20</v>
      </c>
      <c r="G271" s="5">
        <f t="shared" si="88"/>
        <v>140</v>
      </c>
      <c r="H271" s="106">
        <f t="shared" si="88"/>
        <v>3.8194444444444443E-3</v>
      </c>
      <c r="I271" s="110">
        <f t="shared" si="85"/>
        <v>1.7687499999999998E-2</v>
      </c>
      <c r="J271" s="5">
        <v>1.05</v>
      </c>
      <c r="K271" s="5">
        <v>0</v>
      </c>
      <c r="L271" s="5">
        <v>0</v>
      </c>
      <c r="N271" s="5">
        <f t="shared" si="77"/>
        <v>140</v>
      </c>
      <c r="O271" s="97">
        <f t="shared" si="78"/>
        <v>181.81818181818184</v>
      </c>
      <c r="P271" s="5">
        <f t="shared" si="79"/>
        <v>1.02</v>
      </c>
      <c r="R271" s="96">
        <f t="shared" si="80"/>
        <v>4.1332894328221466</v>
      </c>
      <c r="S271" s="95">
        <f t="shared" si="81"/>
        <v>0.97475192388179388</v>
      </c>
      <c r="T271" s="96">
        <f t="shared" si="82"/>
        <v>60.099071555555561</v>
      </c>
      <c r="U271" s="97"/>
      <c r="V271" s="97">
        <f t="shared" si="86"/>
        <v>52.605501872281877</v>
      </c>
      <c r="W271" s="96">
        <f t="shared" si="76"/>
        <v>58.581685622287381</v>
      </c>
      <c r="X271" s="96">
        <f t="shared" si="89"/>
        <v>0.77408170946891597</v>
      </c>
      <c r="Y271" s="96">
        <f t="shared" si="83"/>
        <v>0.82193776789198247</v>
      </c>
      <c r="Z271" s="96">
        <f t="shared" si="87"/>
        <v>333.07440509561752</v>
      </c>
      <c r="AA271" s="97">
        <f t="shared" si="90"/>
        <v>73.485594904382751</v>
      </c>
      <c r="AB271" s="97">
        <f t="shared" si="91"/>
        <v>253.48559490438308</v>
      </c>
      <c r="AC271" s="97">
        <f t="shared" si="92"/>
        <v>3797.9808217474811</v>
      </c>
      <c r="AD271" s="96"/>
      <c r="AE271" s="105">
        <f t="shared" si="84"/>
        <v>3.0744050956175215</v>
      </c>
    </row>
    <row r="272" spans="5:31" x14ac:dyDescent="0.35">
      <c r="E272" s="100">
        <f t="shared" si="75"/>
        <v>1.1875000000000293</v>
      </c>
      <c r="F272" s="5">
        <v>20</v>
      </c>
      <c r="G272" s="5">
        <f t="shared" si="88"/>
        <v>140</v>
      </c>
      <c r="H272" s="106">
        <f t="shared" si="88"/>
        <v>3.8194444444444443E-3</v>
      </c>
      <c r="I272" s="110">
        <f t="shared" si="85"/>
        <v>1.7687499999999998E-2</v>
      </c>
      <c r="J272" s="5">
        <v>1.05</v>
      </c>
      <c r="K272" s="5">
        <v>0</v>
      </c>
      <c r="L272" s="5">
        <v>0</v>
      </c>
      <c r="N272" s="5">
        <f t="shared" si="77"/>
        <v>140</v>
      </c>
      <c r="O272" s="97">
        <f t="shared" si="78"/>
        <v>181.81818181818184</v>
      </c>
      <c r="P272" s="5">
        <f t="shared" si="79"/>
        <v>1.02</v>
      </c>
      <c r="R272" s="96">
        <f t="shared" si="80"/>
        <v>4.1332894328221466</v>
      </c>
      <c r="S272" s="95">
        <f t="shared" si="81"/>
        <v>0.97461562167472682</v>
      </c>
      <c r="T272" s="96">
        <f t="shared" si="82"/>
        <v>60.099071555555561</v>
      </c>
      <c r="U272" s="97"/>
      <c r="V272" s="97">
        <f t="shared" si="86"/>
        <v>52.605501872281877</v>
      </c>
      <c r="W272" s="96">
        <f t="shared" si="76"/>
        <v>58.573493986191671</v>
      </c>
      <c r="X272" s="96">
        <f t="shared" si="89"/>
        <v>0.77347520285152227</v>
      </c>
      <c r="Y272" s="96">
        <f t="shared" si="83"/>
        <v>0.81509457431019983</v>
      </c>
      <c r="Z272" s="96">
        <f t="shared" si="87"/>
        <v>333.88949966992772</v>
      </c>
      <c r="AA272" s="97">
        <f t="shared" si="90"/>
        <v>72.670500330072556</v>
      </c>
      <c r="AB272" s="97">
        <f t="shared" si="91"/>
        <v>252.67050033007288</v>
      </c>
      <c r="AC272" s="97">
        <f t="shared" si="92"/>
        <v>3811.9802227958062</v>
      </c>
      <c r="AD272" s="96"/>
      <c r="AE272" s="105">
        <f t="shared" si="84"/>
        <v>3.8894996699277158</v>
      </c>
    </row>
    <row r="273" spans="5:31" x14ac:dyDescent="0.35">
      <c r="E273" s="100">
        <f t="shared" si="75"/>
        <v>1.1881944444444739</v>
      </c>
      <c r="F273" s="5">
        <v>20</v>
      </c>
      <c r="G273" s="5">
        <f t="shared" si="88"/>
        <v>140</v>
      </c>
      <c r="H273" s="106">
        <f t="shared" si="88"/>
        <v>3.8194444444444443E-3</v>
      </c>
      <c r="I273" s="110">
        <f t="shared" si="85"/>
        <v>1.7687499999999998E-2</v>
      </c>
      <c r="J273" s="5">
        <v>1.05</v>
      </c>
      <c r="K273" s="5">
        <v>0</v>
      </c>
      <c r="L273" s="5">
        <v>0</v>
      </c>
      <c r="N273" s="5">
        <f t="shared" si="77"/>
        <v>140</v>
      </c>
      <c r="O273" s="97">
        <f t="shared" si="78"/>
        <v>181.81818181818184</v>
      </c>
      <c r="P273" s="5">
        <f t="shared" si="79"/>
        <v>1.02</v>
      </c>
      <c r="R273" s="96">
        <f t="shared" si="80"/>
        <v>4.1332894328221466</v>
      </c>
      <c r="S273" s="95">
        <f t="shared" si="81"/>
        <v>0.97448045427667462</v>
      </c>
      <c r="T273" s="96">
        <f t="shared" si="82"/>
        <v>60.099071555555561</v>
      </c>
      <c r="U273" s="97"/>
      <c r="V273" s="97">
        <f t="shared" si="86"/>
        <v>52.605501872281877</v>
      </c>
      <c r="W273" s="96">
        <f t="shared" si="76"/>
        <v>58.565370551064156</v>
      </c>
      <c r="X273" s="96">
        <f t="shared" si="89"/>
        <v>0.77287374581616941</v>
      </c>
      <c r="Y273" s="96">
        <f t="shared" si="83"/>
        <v>0.80831021347879262</v>
      </c>
      <c r="Z273" s="96">
        <f t="shared" si="87"/>
        <v>334.69780988340653</v>
      </c>
      <c r="AA273" s="97">
        <f t="shared" si="90"/>
        <v>71.862190116593766</v>
      </c>
      <c r="AB273" s="97">
        <f t="shared" si="91"/>
        <v>251.86219011659409</v>
      </c>
      <c r="AC273" s="97">
        <f t="shared" si="92"/>
        <v>3825.9776822965387</v>
      </c>
      <c r="AD273" s="96"/>
      <c r="AE273" s="105">
        <f t="shared" si="84"/>
        <v>4.6978098834065349</v>
      </c>
    </row>
    <row r="274" spans="5:31" x14ac:dyDescent="0.35">
      <c r="E274" s="100">
        <f t="shared" si="75"/>
        <v>1.1888888888889184</v>
      </c>
      <c r="F274" s="5">
        <v>20</v>
      </c>
      <c r="G274" s="5">
        <f t="shared" si="88"/>
        <v>140</v>
      </c>
      <c r="H274" s="106">
        <f t="shared" si="88"/>
        <v>3.8194444444444443E-3</v>
      </c>
      <c r="I274" s="110">
        <f t="shared" si="85"/>
        <v>1.7687499999999998E-2</v>
      </c>
      <c r="J274" s="5">
        <v>1.05</v>
      </c>
      <c r="K274" s="5">
        <v>0</v>
      </c>
      <c r="L274" s="5">
        <v>0</v>
      </c>
      <c r="N274" s="5">
        <f t="shared" si="77"/>
        <v>140</v>
      </c>
      <c r="O274" s="97">
        <f t="shared" si="78"/>
        <v>181.81818181818184</v>
      </c>
      <c r="P274" s="5">
        <f t="shared" si="79"/>
        <v>1.02</v>
      </c>
      <c r="R274" s="96">
        <f t="shared" si="80"/>
        <v>4.1332894328221466</v>
      </c>
      <c r="S274" s="95">
        <f t="shared" si="81"/>
        <v>0.97434641193138305</v>
      </c>
      <c r="T274" s="96">
        <f t="shared" si="82"/>
        <v>60.099071555555561</v>
      </c>
      <c r="U274" s="97"/>
      <c r="V274" s="97">
        <f t="shared" si="86"/>
        <v>52.605501872281877</v>
      </c>
      <c r="W274" s="96">
        <f t="shared" si="76"/>
        <v>58.557314730563007</v>
      </c>
      <c r="X274" s="96">
        <f t="shared" si="89"/>
        <v>0.77227729495026121</v>
      </c>
      <c r="Y274" s="96">
        <f t="shared" si="83"/>
        <v>0.8015841492947311</v>
      </c>
      <c r="Z274" s="96">
        <f t="shared" si="87"/>
        <v>335.49939403270128</v>
      </c>
      <c r="AA274" s="97">
        <f t="shared" si="90"/>
        <v>71.06060596729904</v>
      </c>
      <c r="AB274" s="97">
        <f t="shared" si="91"/>
        <v>251.06060596729935</v>
      </c>
      <c r="AC274" s="97">
        <f t="shared" si="92"/>
        <v>3839.9732164099619</v>
      </c>
      <c r="AD274" s="96"/>
      <c r="AE274" s="105">
        <f t="shared" si="84"/>
        <v>5.4993940327012751</v>
      </c>
    </row>
    <row r="275" spans="5:31" x14ac:dyDescent="0.35">
      <c r="E275" s="100">
        <f t="shared" si="75"/>
        <v>1.189583333333363</v>
      </c>
      <c r="F275" s="5">
        <v>20</v>
      </c>
      <c r="G275" s="5">
        <f t="shared" si="88"/>
        <v>140</v>
      </c>
      <c r="H275" s="106">
        <f t="shared" si="88"/>
        <v>3.8194444444444443E-3</v>
      </c>
      <c r="I275" s="110">
        <f t="shared" si="85"/>
        <v>1.7687499999999998E-2</v>
      </c>
      <c r="J275" s="5">
        <v>1.05</v>
      </c>
      <c r="K275" s="5">
        <v>0</v>
      </c>
      <c r="L275" s="5">
        <v>0</v>
      </c>
      <c r="N275" s="5">
        <f t="shared" si="77"/>
        <v>140</v>
      </c>
      <c r="O275" s="97">
        <f t="shared" si="78"/>
        <v>181.81818181818184</v>
      </c>
      <c r="P275" s="5">
        <f t="shared" si="79"/>
        <v>1.02</v>
      </c>
      <c r="R275" s="96">
        <f t="shared" si="80"/>
        <v>4.1332894328221466</v>
      </c>
      <c r="S275" s="95">
        <f t="shared" si="81"/>
        <v>0.97421348497150018</v>
      </c>
      <c r="T275" s="96">
        <f t="shared" si="82"/>
        <v>60.099071555555561</v>
      </c>
      <c r="U275" s="97"/>
      <c r="V275" s="97">
        <f t="shared" si="86"/>
        <v>52.605501872281877</v>
      </c>
      <c r="W275" s="96">
        <f t="shared" si="76"/>
        <v>58.54932594368934</v>
      </c>
      <c r="X275" s="96">
        <f t="shared" si="89"/>
        <v>0.77168580723679103</v>
      </c>
      <c r="Y275" s="96">
        <f t="shared" si="83"/>
        <v>0.7949158510309402</v>
      </c>
      <c r="Z275" s="96">
        <f t="shared" si="87"/>
        <v>336.29430988373224</v>
      </c>
      <c r="AA275" s="97">
        <f t="shared" si="90"/>
        <v>70.265690116268104</v>
      </c>
      <c r="AB275" s="97">
        <f t="shared" si="91"/>
        <v>250.26569011626842</v>
      </c>
      <c r="AC275" s="97">
        <f t="shared" si="92"/>
        <v>3853.9668411574976</v>
      </c>
      <c r="AD275" s="96"/>
      <c r="AE275" s="105">
        <f t="shared" si="84"/>
        <v>6.2943098837322395</v>
      </c>
    </row>
    <row r="276" spans="5:31" x14ac:dyDescent="0.35">
      <c r="E276" s="100">
        <f t="shared" si="75"/>
        <v>1.1902777777778075</v>
      </c>
      <c r="F276" s="5">
        <v>20</v>
      </c>
      <c r="G276" s="5">
        <f t="shared" si="88"/>
        <v>140</v>
      </c>
      <c r="H276" s="106">
        <f t="shared" si="88"/>
        <v>3.8194444444444443E-3</v>
      </c>
      <c r="I276" s="110">
        <f t="shared" si="85"/>
        <v>1.7687499999999998E-2</v>
      </c>
      <c r="J276" s="5">
        <v>1.05</v>
      </c>
      <c r="K276" s="5">
        <v>0</v>
      </c>
      <c r="L276" s="5">
        <v>0</v>
      </c>
      <c r="N276" s="5">
        <f t="shared" si="77"/>
        <v>140</v>
      </c>
      <c r="O276" s="97">
        <f t="shared" si="78"/>
        <v>181.81818181818184</v>
      </c>
      <c r="P276" s="5">
        <f t="shared" si="79"/>
        <v>1.02</v>
      </c>
      <c r="R276" s="96">
        <f t="shared" si="80"/>
        <v>4.1332894328221466</v>
      </c>
      <c r="S276" s="95">
        <f t="shared" si="81"/>
        <v>0.97408166381768468</v>
      </c>
      <c r="T276" s="96">
        <f t="shared" si="82"/>
        <v>60.099071555555561</v>
      </c>
      <c r="U276" s="97"/>
      <c r="V276" s="97">
        <f t="shared" si="86"/>
        <v>52.605501872281877</v>
      </c>
      <c r="W276" s="96">
        <f t="shared" si="76"/>
        <v>58.541403614733646</v>
      </c>
      <c r="X276" s="96">
        <f t="shared" si="89"/>
        <v>0.77109924005037511</v>
      </c>
      <c r="Y276" s="96">
        <f t="shared" si="83"/>
        <v>0.78830479327459224</v>
      </c>
      <c r="Z276" s="96">
        <f t="shared" si="87"/>
        <v>337.08261467700686</v>
      </c>
      <c r="AA276" s="97">
        <f t="shared" si="90"/>
        <v>69.477385322993513</v>
      </c>
      <c r="AB276" s="97">
        <f t="shared" si="91"/>
        <v>249.47738532299383</v>
      </c>
      <c r="AC276" s="97">
        <f t="shared" si="92"/>
        <v>3867.9585724229692</v>
      </c>
      <c r="AD276" s="96"/>
      <c r="AE276" s="105">
        <f t="shared" si="84"/>
        <v>7.082614677006859</v>
      </c>
    </row>
    <row r="277" spans="5:31" x14ac:dyDescent="0.35">
      <c r="E277" s="100">
        <f t="shared" si="75"/>
        <v>1.1909722222222521</v>
      </c>
      <c r="F277" s="5">
        <v>20</v>
      </c>
      <c r="G277" s="5">
        <f t="shared" si="88"/>
        <v>140</v>
      </c>
      <c r="H277" s="106">
        <f t="shared" si="88"/>
        <v>3.8194444444444443E-3</v>
      </c>
      <c r="I277" s="110">
        <f t="shared" si="85"/>
        <v>1.7687499999999998E-2</v>
      </c>
      <c r="J277" s="5">
        <v>1.05</v>
      </c>
      <c r="K277" s="5">
        <v>0</v>
      </c>
      <c r="L277" s="5">
        <v>0</v>
      </c>
      <c r="N277" s="5">
        <f t="shared" si="77"/>
        <v>140</v>
      </c>
      <c r="O277" s="97">
        <f t="shared" si="78"/>
        <v>181.81818181818184</v>
      </c>
      <c r="P277" s="5">
        <f t="shared" si="79"/>
        <v>1.02</v>
      </c>
      <c r="R277" s="96">
        <f t="shared" si="80"/>
        <v>4.1332894328221466</v>
      </c>
      <c r="S277" s="95">
        <f t="shared" si="81"/>
        <v>0.97395093897772456</v>
      </c>
      <c r="T277" s="96">
        <f t="shared" si="82"/>
        <v>60.099071555555561</v>
      </c>
      <c r="U277" s="97"/>
      <c r="V277" s="97">
        <f t="shared" si="86"/>
        <v>52.605501872281877</v>
      </c>
      <c r="W277" s="96">
        <f t="shared" si="76"/>
        <v>58.533547173222793</v>
      </c>
      <c r="X277" s="96">
        <f t="shared" si="89"/>
        <v>0.77051755115333065</v>
      </c>
      <c r="Y277" s="96">
        <f t="shared" si="83"/>
        <v>0.78175045586621839</v>
      </c>
      <c r="Z277" s="96">
        <f t="shared" si="87"/>
        <v>337.8643651328731</v>
      </c>
      <c r="AA277" s="97">
        <f t="shared" si="90"/>
        <v>68.695634867127296</v>
      </c>
      <c r="AB277" s="97">
        <f t="shared" si="91"/>
        <v>248.69563486712761</v>
      </c>
      <c r="AC277" s="97">
        <f t="shared" si="92"/>
        <v>3881.948425953854</v>
      </c>
      <c r="AD277" s="96"/>
      <c r="AE277" s="105">
        <f t="shared" si="84"/>
        <v>7.8643651328731039</v>
      </c>
    </row>
    <row r="278" spans="5:31" x14ac:dyDescent="0.35">
      <c r="E278" s="100">
        <f t="shared" si="75"/>
        <v>1.1916666666666966</v>
      </c>
      <c r="F278" s="5">
        <v>20</v>
      </c>
      <c r="G278" s="5">
        <f t="shared" si="88"/>
        <v>140</v>
      </c>
      <c r="H278" s="106">
        <f t="shared" si="88"/>
        <v>3.8194444444444443E-3</v>
      </c>
      <c r="I278" s="110">
        <f t="shared" si="85"/>
        <v>1.7687499999999998E-2</v>
      </c>
      <c r="J278" s="5">
        <v>1.05</v>
      </c>
      <c r="K278" s="5">
        <v>0</v>
      </c>
      <c r="L278" s="5">
        <v>0</v>
      </c>
      <c r="N278" s="5">
        <f t="shared" si="77"/>
        <v>140</v>
      </c>
      <c r="O278" s="97">
        <f t="shared" si="78"/>
        <v>181.81818181818184</v>
      </c>
      <c r="P278" s="5">
        <f t="shared" si="79"/>
        <v>1.02</v>
      </c>
      <c r="R278" s="96">
        <f t="shared" si="80"/>
        <v>4.1332894328221466</v>
      </c>
      <c r="S278" s="95">
        <f t="shared" si="81"/>
        <v>0.97382130104566611</v>
      </c>
      <c r="T278" s="96">
        <f t="shared" si="82"/>
        <v>60.099071555555561</v>
      </c>
      <c r="U278" s="97"/>
      <c r="V278" s="97">
        <f t="shared" si="86"/>
        <v>52.605501872281877</v>
      </c>
      <c r="W278" s="96">
        <f t="shared" si="76"/>
        <v>58.525756053867703</v>
      </c>
      <c r="X278" s="96">
        <f t="shared" si="89"/>
        <v>0.76994069869180004</v>
      </c>
      <c r="Y278" s="96">
        <f t="shared" si="83"/>
        <v>0.7752523238396507</v>
      </c>
      <c r="Z278" s="96">
        <f t="shared" si="87"/>
        <v>338.63961745671276</v>
      </c>
      <c r="AA278" s="97">
        <f t="shared" si="90"/>
        <v>67.920382543287644</v>
      </c>
      <c r="AB278" s="97">
        <f t="shared" si="91"/>
        <v>247.92038254328796</v>
      </c>
      <c r="AC278" s="97">
        <f t="shared" si="92"/>
        <v>3895.9364173625222</v>
      </c>
      <c r="AD278" s="96"/>
      <c r="AE278" s="105">
        <f t="shared" si="84"/>
        <v>8.6396174567127559</v>
      </c>
    </row>
    <row r="279" spans="5:31" x14ac:dyDescent="0.35">
      <c r="E279" s="100">
        <f t="shared" si="75"/>
        <v>1.1923611111111412</v>
      </c>
      <c r="F279" s="5">
        <v>20</v>
      </c>
      <c r="G279" s="5">
        <f t="shared" si="88"/>
        <v>140</v>
      </c>
      <c r="H279" s="106">
        <f t="shared" si="88"/>
        <v>3.8194444444444443E-3</v>
      </c>
      <c r="I279" s="110">
        <f t="shared" si="85"/>
        <v>1.7687499999999998E-2</v>
      </c>
      <c r="J279" s="5">
        <v>1.05</v>
      </c>
      <c r="K279" s="5">
        <v>0</v>
      </c>
      <c r="L279" s="5">
        <v>0</v>
      </c>
      <c r="N279" s="5">
        <f t="shared" si="77"/>
        <v>140</v>
      </c>
      <c r="O279" s="97">
        <f t="shared" si="78"/>
        <v>181.81818181818184</v>
      </c>
      <c r="P279" s="5">
        <f t="shared" si="79"/>
        <v>1.02</v>
      </c>
      <c r="R279" s="96">
        <f t="shared" si="80"/>
        <v>4.1332894328221466</v>
      </c>
      <c r="S279" s="95">
        <f t="shared" si="81"/>
        <v>0.9736927407009528</v>
      </c>
      <c r="T279" s="96">
        <f t="shared" si="82"/>
        <v>60.099071555555561</v>
      </c>
      <c r="U279" s="97"/>
      <c r="V279" s="97">
        <f t="shared" si="86"/>
        <v>52.605501872281877</v>
      </c>
      <c r="W279" s="96">
        <f t="shared" si="76"/>
        <v>58.518029696511569</v>
      </c>
      <c r="X279" s="96">
        <f t="shared" si="89"/>
        <v>0.76936864119191839</v>
      </c>
      <c r="Y279" s="96">
        <f t="shared" si="83"/>
        <v>0.76880988736275346</v>
      </c>
      <c r="Z279" s="96">
        <f t="shared" si="87"/>
        <v>339.40842734407551</v>
      </c>
      <c r="AA279" s="97">
        <f t="shared" si="90"/>
        <v>67.151572655924895</v>
      </c>
      <c r="AB279" s="97">
        <f t="shared" si="91"/>
        <v>247.15157265592521</v>
      </c>
      <c r="AC279" s="97">
        <f t="shared" si="92"/>
        <v>3909.9225621274627</v>
      </c>
      <c r="AD279" s="96"/>
      <c r="AE279" s="105">
        <f t="shared" si="84"/>
        <v>9.4084273440755055</v>
      </c>
    </row>
    <row r="280" spans="5:31" x14ac:dyDescent="0.35">
      <c r="E280" s="100">
        <f t="shared" si="75"/>
        <v>1.1930555555555857</v>
      </c>
      <c r="F280" s="5">
        <v>20</v>
      </c>
      <c r="G280" s="5">
        <f t="shared" si="88"/>
        <v>140</v>
      </c>
      <c r="H280" s="106">
        <f t="shared" si="88"/>
        <v>3.8194444444444443E-3</v>
      </c>
      <c r="I280" s="110">
        <f t="shared" si="85"/>
        <v>1.7687499999999998E-2</v>
      </c>
      <c r="J280" s="5">
        <v>1.05</v>
      </c>
      <c r="K280" s="5">
        <v>0</v>
      </c>
      <c r="L280" s="5">
        <v>0</v>
      </c>
      <c r="N280" s="5">
        <f t="shared" si="77"/>
        <v>140</v>
      </c>
      <c r="O280" s="97">
        <f t="shared" si="78"/>
        <v>181.81818181818184</v>
      </c>
      <c r="P280" s="5">
        <f t="shared" si="79"/>
        <v>1.02</v>
      </c>
      <c r="R280" s="96">
        <f t="shared" si="80"/>
        <v>4.1332894328221466</v>
      </c>
      <c r="S280" s="95">
        <f t="shared" si="81"/>
        <v>0.97356524870757311</v>
      </c>
      <c r="T280" s="96">
        <f t="shared" si="82"/>
        <v>60.099071555555561</v>
      </c>
      <c r="U280" s="97"/>
      <c r="V280" s="97">
        <f t="shared" si="86"/>
        <v>52.605501872281877</v>
      </c>
      <c r="W280" s="96">
        <f t="shared" si="76"/>
        <v>58.510367546078683</v>
      </c>
      <c r="X280" s="96">
        <f t="shared" si="89"/>
        <v>0.76880133755602498</v>
      </c>
      <c r="Y280" s="96">
        <f t="shared" si="83"/>
        <v>0.76242264167894902</v>
      </c>
      <c r="Z280" s="96">
        <f t="shared" si="87"/>
        <v>340.17084998575444</v>
      </c>
      <c r="AA280" s="97">
        <f t="shared" si="90"/>
        <v>66.389150014245942</v>
      </c>
      <c r="AB280" s="97">
        <f t="shared" si="91"/>
        <v>246.38915001424627</v>
      </c>
      <c r="AC280" s="97">
        <f t="shared" si="92"/>
        <v>3923.9068755944986</v>
      </c>
      <c r="AD280" s="96"/>
      <c r="AE280" s="105">
        <f t="shared" si="84"/>
        <v>10.170849985754444</v>
      </c>
    </row>
    <row r="281" spans="5:31" x14ac:dyDescent="0.35">
      <c r="E281" s="100">
        <f t="shared" si="75"/>
        <v>1.1937500000000303</v>
      </c>
      <c r="F281" s="5">
        <v>20</v>
      </c>
      <c r="G281" s="5">
        <f t="shared" si="88"/>
        <v>140</v>
      </c>
      <c r="H281" s="106">
        <f t="shared" si="88"/>
        <v>3.8194444444444443E-3</v>
      </c>
      <c r="I281" s="110">
        <f t="shared" si="85"/>
        <v>1.7687499999999998E-2</v>
      </c>
      <c r="J281" s="5">
        <v>1.05</v>
      </c>
      <c r="K281" s="5">
        <v>0</v>
      </c>
      <c r="L281" s="5">
        <v>0</v>
      </c>
      <c r="N281" s="5">
        <f t="shared" si="77"/>
        <v>140</v>
      </c>
      <c r="O281" s="97">
        <f t="shared" si="78"/>
        <v>181.81818181818184</v>
      </c>
      <c r="P281" s="5">
        <f t="shared" si="79"/>
        <v>1.02</v>
      </c>
      <c r="R281" s="96">
        <f t="shared" si="80"/>
        <v>4.1332894328221466</v>
      </c>
      <c r="S281" s="95">
        <f t="shared" si="81"/>
        <v>0.97343881591322046</v>
      </c>
      <c r="T281" s="96">
        <f t="shared" si="82"/>
        <v>60.099071555555561</v>
      </c>
      <c r="U281" s="97"/>
      <c r="V281" s="97">
        <f t="shared" si="86"/>
        <v>52.605501872281877</v>
      </c>
      <c r="W281" s="96">
        <f t="shared" si="76"/>
        <v>58.502769052523917</v>
      </c>
      <c r="X281" s="96">
        <f t="shared" si="89"/>
        <v>0.76823874705891837</v>
      </c>
      <c r="Y281" s="96">
        <f t="shared" si="83"/>
        <v>0.7560900870495264</v>
      </c>
      <c r="Z281" s="96">
        <f t="shared" si="87"/>
        <v>340.92694007280397</v>
      </c>
      <c r="AA281" s="97">
        <f t="shared" si="90"/>
        <v>65.633059927196413</v>
      </c>
      <c r="AB281" s="97">
        <f t="shared" si="91"/>
        <v>245.63305992719674</v>
      </c>
      <c r="AC281" s="97">
        <f t="shared" si="92"/>
        <v>3937.8893729779888</v>
      </c>
      <c r="AD281" s="96"/>
      <c r="AE281" s="105">
        <f t="shared" si="84"/>
        <v>10.926940072803973</v>
      </c>
    </row>
    <row r="282" spans="5:31" x14ac:dyDescent="0.35">
      <c r="E282" s="100">
        <f t="shared" si="75"/>
        <v>1.1944444444444748</v>
      </c>
      <c r="F282" s="5">
        <v>20</v>
      </c>
      <c r="G282" s="5">
        <f t="shared" si="88"/>
        <v>140</v>
      </c>
      <c r="H282" s="106">
        <f t="shared" si="88"/>
        <v>3.8194444444444443E-3</v>
      </c>
      <c r="I282" s="110">
        <f t="shared" si="85"/>
        <v>1.7687499999999998E-2</v>
      </c>
      <c r="J282" s="5">
        <v>1.05</v>
      </c>
      <c r="K282" s="5">
        <v>0</v>
      </c>
      <c r="L282" s="5">
        <v>0</v>
      </c>
      <c r="N282" s="5">
        <f t="shared" si="77"/>
        <v>140</v>
      </c>
      <c r="O282" s="97">
        <f t="shared" si="78"/>
        <v>181.81818181818184</v>
      </c>
      <c r="P282" s="5">
        <f t="shared" si="79"/>
        <v>1.02</v>
      </c>
      <c r="R282" s="96">
        <f t="shared" si="80"/>
        <v>4.1332894328221466</v>
      </c>
      <c r="S282" s="95">
        <f t="shared" si="81"/>
        <v>0.97331343324845898</v>
      </c>
      <c r="T282" s="96">
        <f t="shared" si="82"/>
        <v>60.099071555555561</v>
      </c>
      <c r="U282" s="97"/>
      <c r="V282" s="97">
        <f t="shared" si="86"/>
        <v>52.605501872281877</v>
      </c>
      <c r="W282" s="96">
        <f t="shared" si="76"/>
        <v>58.495233670782589</v>
      </c>
      <c r="X282" s="96">
        <f t="shared" si="89"/>
        <v>0.76768082934415327</v>
      </c>
      <c r="Y282" s="96">
        <f t="shared" si="83"/>
        <v>0.74981172869670587</v>
      </c>
      <c r="Z282" s="96">
        <f t="shared" si="87"/>
        <v>341.6767518015007</v>
      </c>
      <c r="AA282" s="97">
        <f t="shared" si="90"/>
        <v>64.8832481984997</v>
      </c>
      <c r="AB282" s="97">
        <f t="shared" si="91"/>
        <v>274.88324819850004</v>
      </c>
      <c r="AC282" s="97">
        <f t="shared" si="92"/>
        <v>3951.870069362019</v>
      </c>
      <c r="AD282" s="96"/>
      <c r="AE282" s="105">
        <f t="shared" si="84"/>
        <v>11.6767518015007</v>
      </c>
    </row>
    <row r="283" spans="5:31" x14ac:dyDescent="0.35">
      <c r="E283" s="100">
        <f t="shared" si="75"/>
        <v>1.1951388888889194</v>
      </c>
      <c r="F283" s="5">
        <v>20</v>
      </c>
      <c r="G283" s="5">
        <f t="shared" si="88"/>
        <v>140</v>
      </c>
      <c r="H283" s="106">
        <f t="shared" si="88"/>
        <v>3.8194444444444443E-3</v>
      </c>
      <c r="I283" s="110">
        <f t="shared" si="85"/>
        <v>1.7687499999999998E-2</v>
      </c>
      <c r="J283" s="5">
        <v>1.05</v>
      </c>
      <c r="K283" s="5">
        <v>0</v>
      </c>
      <c r="L283" s="5">
        <v>0</v>
      </c>
      <c r="N283" s="5">
        <f t="shared" si="77"/>
        <v>140</v>
      </c>
      <c r="O283" s="97">
        <f t="shared" si="78"/>
        <v>181.81818181818184</v>
      </c>
      <c r="P283" s="5">
        <f t="shared" si="79"/>
        <v>1.02</v>
      </c>
      <c r="R283" s="96">
        <f t="shared" si="80"/>
        <v>4.1332894328221466</v>
      </c>
      <c r="S283" s="95">
        <f t="shared" si="81"/>
        <v>0.97816400147180393</v>
      </c>
      <c r="T283" s="96">
        <f t="shared" si="82"/>
        <v>60.099071555555561</v>
      </c>
      <c r="U283" s="97"/>
      <c r="V283" s="97">
        <f t="shared" si="86"/>
        <v>52.605501872281877</v>
      </c>
      <c r="W283" s="96">
        <f t="shared" si="76"/>
        <v>58.786748317522502</v>
      </c>
      <c r="X283" s="96">
        <f t="shared" si="89"/>
        <v>0.78926449837551649</v>
      </c>
      <c r="Y283" s="96">
        <f t="shared" si="83"/>
        <v>0.99385787872942932</v>
      </c>
      <c r="Z283" s="96">
        <f t="shared" si="87"/>
        <v>342.67060968023014</v>
      </c>
      <c r="AA283" s="97">
        <f t="shared" si="90"/>
        <v>63.889390319770271</v>
      </c>
      <c r="AB283" s="97">
        <f t="shared" si="91"/>
        <v>273.8893903197706</v>
      </c>
      <c r="AC283" s="97">
        <f t="shared" si="92"/>
        <v>3965.9204394187882</v>
      </c>
      <c r="AD283" s="96"/>
      <c r="AE283" s="105">
        <f t="shared" si="84"/>
        <v>12.670609680230143</v>
      </c>
    </row>
    <row r="284" spans="5:31" x14ac:dyDescent="0.35">
      <c r="E284" s="100">
        <f t="shared" si="75"/>
        <v>1.1958333333333639</v>
      </c>
      <c r="F284" s="5">
        <v>20</v>
      </c>
      <c r="G284" s="5">
        <f t="shared" si="88"/>
        <v>140</v>
      </c>
      <c r="H284" s="106">
        <f t="shared" si="88"/>
        <v>3.8194444444444443E-3</v>
      </c>
      <c r="I284" s="110">
        <f t="shared" si="85"/>
        <v>1.7687499999999998E-2</v>
      </c>
      <c r="J284" s="5">
        <v>1.05</v>
      </c>
      <c r="K284" s="5">
        <v>0</v>
      </c>
      <c r="L284" s="5">
        <v>0</v>
      </c>
      <c r="N284" s="5">
        <f t="shared" si="77"/>
        <v>140</v>
      </c>
      <c r="O284" s="97">
        <f t="shared" si="78"/>
        <v>181.81818181818184</v>
      </c>
      <c r="P284" s="5">
        <f t="shared" si="79"/>
        <v>1.02</v>
      </c>
      <c r="R284" s="96">
        <f t="shared" si="80"/>
        <v>4.1332894328221466</v>
      </c>
      <c r="S284" s="95">
        <f t="shared" si="81"/>
        <v>0.97799918969690613</v>
      </c>
      <c r="T284" s="96">
        <f t="shared" si="82"/>
        <v>60.099071555555561</v>
      </c>
      <c r="U284" s="97"/>
      <c r="V284" s="97">
        <f t="shared" si="86"/>
        <v>52.605501872281877</v>
      </c>
      <c r="W284" s="96">
        <f t="shared" si="76"/>
        <v>58.77684328286972</v>
      </c>
      <c r="X284" s="96">
        <f t="shared" si="89"/>
        <v>0.78853113217220372</v>
      </c>
      <c r="Y284" s="96">
        <f t="shared" si="83"/>
        <v>0.98552660631451627</v>
      </c>
      <c r="Z284" s="96">
        <f t="shared" si="87"/>
        <v>343.65613628654467</v>
      </c>
      <c r="AA284" s="97">
        <f t="shared" si="90"/>
        <v>62.903863713455756</v>
      </c>
      <c r="AB284" s="97">
        <f t="shared" si="91"/>
        <v>272.90386371345608</v>
      </c>
      <c r="AC284" s="97">
        <f t="shared" si="92"/>
        <v>3979.9684421154589</v>
      </c>
      <c r="AD284" s="96"/>
      <c r="AE284" s="105">
        <f t="shared" si="84"/>
        <v>13.656136286544665</v>
      </c>
    </row>
    <row r="285" spans="5:31" x14ac:dyDescent="0.35">
      <c r="E285" s="100">
        <f t="shared" si="75"/>
        <v>1.1965277777778085</v>
      </c>
      <c r="F285" s="5">
        <v>20</v>
      </c>
      <c r="G285" s="5">
        <f t="shared" si="88"/>
        <v>140</v>
      </c>
      <c r="H285" s="106">
        <f t="shared" si="88"/>
        <v>3.8194444444444443E-3</v>
      </c>
      <c r="I285" s="110">
        <f t="shared" si="85"/>
        <v>1.7687499999999998E-2</v>
      </c>
      <c r="J285" s="5">
        <v>1.05</v>
      </c>
      <c r="K285" s="5">
        <v>0</v>
      </c>
      <c r="L285" s="5">
        <v>0</v>
      </c>
      <c r="N285" s="5">
        <f t="shared" si="77"/>
        <v>140</v>
      </c>
      <c r="O285" s="97">
        <f t="shared" si="78"/>
        <v>181.81818181818184</v>
      </c>
      <c r="P285" s="5">
        <f t="shared" si="79"/>
        <v>1.02</v>
      </c>
      <c r="R285" s="96">
        <f t="shared" si="80"/>
        <v>4.1332894328221466</v>
      </c>
      <c r="S285" s="95">
        <f t="shared" si="81"/>
        <v>0.97783575949961965</v>
      </c>
      <c r="T285" s="96">
        <f t="shared" si="82"/>
        <v>60.099071555555561</v>
      </c>
      <c r="U285" s="97"/>
      <c r="V285" s="97">
        <f t="shared" si="86"/>
        <v>52.605501872281877</v>
      </c>
      <c r="W285" s="96">
        <f t="shared" si="76"/>
        <v>58.767021279748661</v>
      </c>
      <c r="X285" s="96">
        <f t="shared" si="89"/>
        <v>0.78780391360201885</v>
      </c>
      <c r="Y285" s="96">
        <f t="shared" si="83"/>
        <v>0.97726788998012448</v>
      </c>
      <c r="Z285" s="96">
        <f t="shared" si="87"/>
        <v>344.63340417652478</v>
      </c>
      <c r="AA285" s="97">
        <f t="shared" si="90"/>
        <v>61.92659582347563</v>
      </c>
      <c r="AB285" s="97">
        <f t="shared" si="91"/>
        <v>271.92659582347596</v>
      </c>
      <c r="AC285" s="97">
        <f t="shared" si="92"/>
        <v>3994.014097297043</v>
      </c>
      <c r="AD285" s="96"/>
      <c r="AE285" s="105">
        <f t="shared" si="84"/>
        <v>14.633404176524778</v>
      </c>
    </row>
    <row r="286" spans="5:31" x14ac:dyDescent="0.35">
      <c r="E286" s="100">
        <f t="shared" si="75"/>
        <v>1.1972222222222531</v>
      </c>
      <c r="F286" s="5">
        <v>20</v>
      </c>
      <c r="G286" s="5">
        <f t="shared" si="88"/>
        <v>140</v>
      </c>
      <c r="H286" s="106">
        <f t="shared" si="88"/>
        <v>3.8194444444444443E-3</v>
      </c>
      <c r="I286" s="110">
        <f t="shared" si="85"/>
        <v>1.7687499999999998E-2</v>
      </c>
      <c r="J286" s="5">
        <v>1.05</v>
      </c>
      <c r="K286" s="5">
        <v>0</v>
      </c>
      <c r="L286" s="5">
        <v>0</v>
      </c>
      <c r="N286" s="5">
        <f t="shared" si="77"/>
        <v>140</v>
      </c>
      <c r="O286" s="97">
        <f t="shared" si="78"/>
        <v>181.81818181818184</v>
      </c>
      <c r="P286" s="5">
        <f t="shared" si="79"/>
        <v>1.02</v>
      </c>
      <c r="R286" s="96">
        <f t="shared" si="80"/>
        <v>4.1332894328221466</v>
      </c>
      <c r="S286" s="95">
        <f t="shared" si="81"/>
        <v>0.97767369884794564</v>
      </c>
      <c r="T286" s="96">
        <f t="shared" si="82"/>
        <v>60.099071555555561</v>
      </c>
      <c r="U286" s="97"/>
      <c r="V286" s="97">
        <f t="shared" si="86"/>
        <v>52.605501872281877</v>
      </c>
      <c r="W286" s="96">
        <f t="shared" si="76"/>
        <v>58.757281585047366</v>
      </c>
      <c r="X286" s="96">
        <f t="shared" si="89"/>
        <v>0.78708278912594143</v>
      </c>
      <c r="Y286" s="96">
        <f t="shared" si="83"/>
        <v>0.96908105338716721</v>
      </c>
      <c r="Z286" s="96">
        <f t="shared" si="87"/>
        <v>345.60248522991196</v>
      </c>
      <c r="AA286" s="97">
        <f t="shared" si="90"/>
        <v>60.957514770088466</v>
      </c>
      <c r="AB286" s="97">
        <f t="shared" si="91"/>
        <v>270.95751477008878</v>
      </c>
      <c r="AC286" s="97">
        <f t="shared" si="92"/>
        <v>4008.0574246357255</v>
      </c>
      <c r="AD286" s="96"/>
      <c r="AE286" s="105">
        <f t="shared" si="84"/>
        <v>15.602485229911963</v>
      </c>
    </row>
    <row r="287" spans="5:31" x14ac:dyDescent="0.35">
      <c r="E287" s="100">
        <f t="shared" si="75"/>
        <v>1.1979166666666976</v>
      </c>
      <c r="F287" s="5">
        <v>20</v>
      </c>
      <c r="G287" s="5">
        <f t="shared" si="88"/>
        <v>140</v>
      </c>
      <c r="H287" s="106">
        <f t="shared" si="88"/>
        <v>3.8194444444444443E-3</v>
      </c>
      <c r="I287" s="110">
        <f t="shared" si="85"/>
        <v>1.7687499999999998E-2</v>
      </c>
      <c r="J287" s="5">
        <v>1.05</v>
      </c>
      <c r="K287" s="5">
        <v>0</v>
      </c>
      <c r="L287" s="5">
        <v>0</v>
      </c>
      <c r="N287" s="5">
        <f t="shared" si="77"/>
        <v>140</v>
      </c>
      <c r="O287" s="97">
        <f t="shared" si="78"/>
        <v>181.81818181818184</v>
      </c>
      <c r="P287" s="5">
        <f t="shared" si="79"/>
        <v>1.02</v>
      </c>
      <c r="R287" s="96">
        <f t="shared" si="80"/>
        <v>4.1332894328221466</v>
      </c>
      <c r="S287" s="95">
        <f t="shared" si="81"/>
        <v>0.97751299582204343</v>
      </c>
      <c r="T287" s="96">
        <f t="shared" si="82"/>
        <v>60.099071555555561</v>
      </c>
      <c r="U287" s="97"/>
      <c r="V287" s="97">
        <f t="shared" si="86"/>
        <v>52.605501872281877</v>
      </c>
      <c r="W287" s="96">
        <f t="shared" si="76"/>
        <v>58.747623482394474</v>
      </c>
      <c r="X287" s="96">
        <f t="shared" si="89"/>
        <v>0.78636770570402048</v>
      </c>
      <c r="Y287" s="96">
        <f t="shared" si="83"/>
        <v>0.96096542722311573</v>
      </c>
      <c r="Z287" s="96">
        <f t="shared" si="87"/>
        <v>346.56345065713509</v>
      </c>
      <c r="AA287" s="97">
        <f t="shared" si="90"/>
        <v>59.99654934286535</v>
      </c>
      <c r="AB287" s="97">
        <f t="shared" si="91"/>
        <v>269.99654934286565</v>
      </c>
      <c r="AC287" s="97">
        <f t="shared" si="92"/>
        <v>4022.0984436324738</v>
      </c>
      <c r="AD287" s="96"/>
      <c r="AE287" s="105">
        <f t="shared" si="84"/>
        <v>16.563450657135093</v>
      </c>
    </row>
    <row r="288" spans="5:31" x14ac:dyDescent="0.35">
      <c r="E288" s="100">
        <f t="shared" si="75"/>
        <v>1.1986111111111422</v>
      </c>
      <c r="F288" s="5">
        <v>20</v>
      </c>
      <c r="G288" s="5">
        <f t="shared" si="88"/>
        <v>140</v>
      </c>
      <c r="H288" s="106">
        <f t="shared" si="88"/>
        <v>3.8194444444444443E-3</v>
      </c>
      <c r="I288" s="110">
        <f t="shared" si="85"/>
        <v>1.7687499999999998E-2</v>
      </c>
      <c r="J288" s="5">
        <v>1.05</v>
      </c>
      <c r="K288" s="5">
        <v>0</v>
      </c>
      <c r="L288" s="5">
        <v>0</v>
      </c>
      <c r="N288" s="5">
        <f t="shared" si="77"/>
        <v>140</v>
      </c>
      <c r="O288" s="97">
        <f t="shared" si="78"/>
        <v>181.81818181818184</v>
      </c>
      <c r="P288" s="5">
        <f t="shared" si="79"/>
        <v>1.02</v>
      </c>
      <c r="R288" s="96">
        <f t="shared" si="80"/>
        <v>4.1332894328221466</v>
      </c>
      <c r="S288" s="95">
        <f t="shared" si="81"/>
        <v>0.97735363861306468</v>
      </c>
      <c r="T288" s="96">
        <f t="shared" si="82"/>
        <v>60.099071555555561</v>
      </c>
      <c r="U288" s="97"/>
      <c r="V288" s="97">
        <f t="shared" si="86"/>
        <v>52.605501872281877</v>
      </c>
      <c r="W288" s="96">
        <f t="shared" si="76"/>
        <v>58.738046262089163</v>
      </c>
      <c r="X288" s="96">
        <f t="shared" si="89"/>
        <v>0.78565861079018995</v>
      </c>
      <c r="Y288" s="96">
        <f t="shared" si="83"/>
        <v>0.95292034911751311</v>
      </c>
      <c r="Z288" s="96">
        <f t="shared" si="87"/>
        <v>347.5163710062526</v>
      </c>
      <c r="AA288" s="97">
        <f t="shared" si="90"/>
        <v>59.043628993747838</v>
      </c>
      <c r="AB288" s="97">
        <f t="shared" si="91"/>
        <v>269.04362899374814</v>
      </c>
      <c r="AC288" s="97">
        <f t="shared" si="92"/>
        <v>4036.1371736186329</v>
      </c>
      <c r="AD288" s="96"/>
      <c r="AE288" s="105">
        <f t="shared" si="84"/>
        <v>17.516371006252598</v>
      </c>
    </row>
    <row r="289" spans="5:31" x14ac:dyDescent="0.35">
      <c r="E289" s="100">
        <f t="shared" si="75"/>
        <v>1.1993055555555867</v>
      </c>
      <c r="F289" s="5">
        <v>20</v>
      </c>
      <c r="G289" s="5">
        <f t="shared" si="88"/>
        <v>140</v>
      </c>
      <c r="H289" s="106">
        <f t="shared" si="88"/>
        <v>3.8194444444444443E-3</v>
      </c>
      <c r="I289" s="110">
        <f t="shared" si="85"/>
        <v>1.7687499999999998E-2</v>
      </c>
      <c r="J289" s="5">
        <v>1.05</v>
      </c>
      <c r="K289" s="5">
        <v>0</v>
      </c>
      <c r="L289" s="5">
        <v>0</v>
      </c>
      <c r="N289" s="5">
        <f t="shared" si="77"/>
        <v>140</v>
      </c>
      <c r="O289" s="97">
        <f t="shared" si="78"/>
        <v>181.81818181818184</v>
      </c>
      <c r="P289" s="5">
        <f t="shared" si="79"/>
        <v>1.02</v>
      </c>
      <c r="R289" s="96">
        <f t="shared" si="80"/>
        <v>4.1332894328221466</v>
      </c>
      <c r="S289" s="95">
        <f t="shared" si="81"/>
        <v>0.97719561552200163</v>
      </c>
      <c r="T289" s="96">
        <f t="shared" si="82"/>
        <v>60.099071555555561</v>
      </c>
      <c r="U289" s="97"/>
      <c r="V289" s="97">
        <f t="shared" si="86"/>
        <v>52.605501872281877</v>
      </c>
      <c r="W289" s="96">
        <f t="shared" si="76"/>
        <v>58.728549221031933</v>
      </c>
      <c r="X289" s="96">
        <f t="shared" si="89"/>
        <v>0.78495545232714581</v>
      </c>
      <c r="Y289" s="96">
        <f t="shared" si="83"/>
        <v>0.94494516355867753</v>
      </c>
      <c r="Z289" s="96">
        <f t="shared" si="87"/>
        <v>348.46131616981125</v>
      </c>
      <c r="AA289" s="97">
        <f t="shared" si="90"/>
        <v>58.098683830189159</v>
      </c>
      <c r="AB289" s="97">
        <f t="shared" si="91"/>
        <v>268.09868383018949</v>
      </c>
      <c r="AC289" s="97">
        <f t="shared" si="92"/>
        <v>4050.173633757503</v>
      </c>
      <c r="AD289" s="96"/>
      <c r="AE289" s="105">
        <f t="shared" si="84"/>
        <v>18.461316169811255</v>
      </c>
    </row>
    <row r="290" spans="5:31" x14ac:dyDescent="0.35">
      <c r="E290" s="100">
        <f t="shared" si="75"/>
        <v>1.2000000000000313</v>
      </c>
      <c r="F290" s="5">
        <v>20</v>
      </c>
      <c r="G290" s="5">
        <f t="shared" si="88"/>
        <v>140</v>
      </c>
      <c r="H290" s="106">
        <f t="shared" si="88"/>
        <v>3.8194444444444443E-3</v>
      </c>
      <c r="I290" s="110">
        <f t="shared" si="85"/>
        <v>1.7687499999999998E-2</v>
      </c>
      <c r="J290" s="5">
        <v>1.05</v>
      </c>
      <c r="K290" s="5">
        <v>0</v>
      </c>
      <c r="L290" s="5">
        <v>0</v>
      </c>
      <c r="N290" s="5">
        <f t="shared" si="77"/>
        <v>140</v>
      </c>
      <c r="O290" s="97">
        <f t="shared" si="78"/>
        <v>181.81818181818184</v>
      </c>
      <c r="P290" s="5">
        <f t="shared" si="79"/>
        <v>1.02</v>
      </c>
      <c r="R290" s="96">
        <f t="shared" si="80"/>
        <v>4.1332894328221466</v>
      </c>
      <c r="S290" s="95">
        <f t="shared" si="81"/>
        <v>0.97703891495855066</v>
      </c>
      <c r="T290" s="96">
        <f t="shared" si="82"/>
        <v>60.099071555555561</v>
      </c>
      <c r="U290" s="97"/>
      <c r="V290" s="97">
        <f t="shared" si="86"/>
        <v>52.605501872281877</v>
      </c>
      <c r="W290" s="96">
        <f t="shared" si="76"/>
        <v>58.719131662656302</v>
      </c>
      <c r="X290" s="96">
        <f t="shared" si="89"/>
        <v>0.78425817874128489</v>
      </c>
      <c r="Y290" s="96">
        <f t="shared" si="83"/>
        <v>0.93703922181157928</v>
      </c>
      <c r="Z290" s="96">
        <f t="shared" si="87"/>
        <v>349.39835539162283</v>
      </c>
      <c r="AA290" s="97">
        <f t="shared" si="90"/>
        <v>57.161644608377578</v>
      </c>
      <c r="AB290" s="97">
        <f t="shared" si="91"/>
        <v>267.16164460837791</v>
      </c>
      <c r="AC290" s="97">
        <f t="shared" si="92"/>
        <v>4064.207843045901</v>
      </c>
      <c r="AD290" s="96"/>
      <c r="AE290" s="105">
        <f t="shared" si="84"/>
        <v>19.398355391622829</v>
      </c>
    </row>
    <row r="291" spans="5:31" x14ac:dyDescent="0.35">
      <c r="E291" s="100">
        <f t="shared" si="75"/>
        <v>1.2006944444444758</v>
      </c>
      <c r="F291" s="5">
        <v>20</v>
      </c>
      <c r="G291" s="5">
        <f t="shared" si="88"/>
        <v>140</v>
      </c>
      <c r="H291" s="106">
        <f t="shared" si="88"/>
        <v>3.8194444444444443E-3</v>
      </c>
      <c r="I291" s="110">
        <f t="shared" si="85"/>
        <v>1.7687499999999998E-2</v>
      </c>
      <c r="J291" s="5">
        <v>1.05</v>
      </c>
      <c r="K291" s="5">
        <v>0</v>
      </c>
      <c r="L291" s="5">
        <v>0</v>
      </c>
      <c r="N291" s="5">
        <f t="shared" si="77"/>
        <v>140</v>
      </c>
      <c r="O291" s="97">
        <f t="shared" si="78"/>
        <v>181.81818181818184</v>
      </c>
      <c r="P291" s="5">
        <f t="shared" si="79"/>
        <v>1.02</v>
      </c>
      <c r="R291" s="96">
        <f t="shared" si="80"/>
        <v>4.1332894328221466</v>
      </c>
      <c r="S291" s="95">
        <f t="shared" si="81"/>
        <v>0.97688352543998791</v>
      </c>
      <c r="T291" s="96">
        <f t="shared" si="82"/>
        <v>60.099071555555561</v>
      </c>
      <c r="U291" s="97"/>
      <c r="V291" s="97">
        <f t="shared" si="86"/>
        <v>52.605501872281877</v>
      </c>
      <c r="W291" s="96">
        <f t="shared" si="76"/>
        <v>58.709792896861217</v>
      </c>
      <c r="X291" s="96">
        <f t="shared" si="89"/>
        <v>0.78356673893770501</v>
      </c>
      <c r="Y291" s="96">
        <f t="shared" si="83"/>
        <v>0.92920188183688091</v>
      </c>
      <c r="Z291" s="96">
        <f t="shared" si="87"/>
        <v>350.32755727345972</v>
      </c>
      <c r="AA291" s="97">
        <f t="shared" si="90"/>
        <v>56.232442726540697</v>
      </c>
      <c r="AB291" s="97">
        <f t="shared" si="91"/>
        <v>266.23244272654102</v>
      </c>
      <c r="AC291" s="97">
        <f t="shared" si="92"/>
        <v>4078.2398203157054</v>
      </c>
      <c r="AD291" s="96"/>
      <c r="AE291" s="105">
        <f t="shared" si="84"/>
        <v>20.327557273459718</v>
      </c>
    </row>
    <row r="292" spans="5:31" x14ac:dyDescent="0.35">
      <c r="E292" s="100">
        <f t="shared" si="75"/>
        <v>1.2013888888889204</v>
      </c>
      <c r="F292" s="5">
        <v>20</v>
      </c>
      <c r="G292" s="5">
        <f t="shared" si="88"/>
        <v>140</v>
      </c>
      <c r="H292" s="106">
        <f t="shared" si="88"/>
        <v>3.8194444444444443E-3</v>
      </c>
      <c r="I292" s="110">
        <f t="shared" si="85"/>
        <v>1.7687499999999998E-2</v>
      </c>
      <c r="J292" s="5">
        <v>1.05</v>
      </c>
      <c r="K292" s="5">
        <v>0</v>
      </c>
      <c r="L292" s="5">
        <v>0</v>
      </c>
      <c r="N292" s="5">
        <f t="shared" si="77"/>
        <v>140</v>
      </c>
      <c r="O292" s="97">
        <f t="shared" si="78"/>
        <v>181.81818181818184</v>
      </c>
      <c r="P292" s="5">
        <f t="shared" si="79"/>
        <v>1.02</v>
      </c>
      <c r="R292" s="96">
        <f t="shared" si="80"/>
        <v>4.1332894328221466</v>
      </c>
      <c r="S292" s="95">
        <f t="shared" si="81"/>
        <v>0.9767294355900592</v>
      </c>
      <c r="T292" s="96">
        <f t="shared" si="82"/>
        <v>60.099071555555561</v>
      </c>
      <c r="U292" s="97"/>
      <c r="V292" s="97">
        <f t="shared" si="86"/>
        <v>52.605501872281877</v>
      </c>
      <c r="W292" s="96">
        <f t="shared" si="76"/>
        <v>58.700532239944366</v>
      </c>
      <c r="X292" s="96">
        <f t="shared" si="89"/>
        <v>0.78288108229526332</v>
      </c>
      <c r="Y292" s="96">
        <f t="shared" si="83"/>
        <v>0.92143250821109635</v>
      </c>
      <c r="Z292" s="96">
        <f t="shared" si="87"/>
        <v>351.24898978167079</v>
      </c>
      <c r="AA292" s="97">
        <f t="shared" si="90"/>
        <v>55.311010218329599</v>
      </c>
      <c r="AB292" s="97">
        <f t="shared" si="91"/>
        <v>265.31101021832995</v>
      </c>
      <c r="AC292" s="97">
        <f t="shared" si="92"/>
        <v>4092.269584235386</v>
      </c>
      <c r="AD292" s="96"/>
      <c r="AE292" s="105">
        <f t="shared" si="84"/>
        <v>21.248989781670787</v>
      </c>
    </row>
    <row r="293" spans="5:31" x14ac:dyDescent="0.35">
      <c r="E293" s="100">
        <f t="shared" si="75"/>
        <v>1.2020833333333649</v>
      </c>
      <c r="F293" s="5">
        <v>20</v>
      </c>
      <c r="G293" s="5">
        <f t="shared" si="88"/>
        <v>140</v>
      </c>
      <c r="H293" s="106">
        <f t="shared" si="88"/>
        <v>3.8194444444444443E-3</v>
      </c>
      <c r="I293" s="110">
        <f t="shared" si="85"/>
        <v>1.7687499999999998E-2</v>
      </c>
      <c r="J293" s="5">
        <v>1.05</v>
      </c>
      <c r="K293" s="5">
        <v>0</v>
      </c>
      <c r="L293" s="5">
        <v>0</v>
      </c>
      <c r="N293" s="5">
        <f t="shared" si="77"/>
        <v>140</v>
      </c>
      <c r="O293" s="97">
        <f t="shared" si="78"/>
        <v>181.81818181818184</v>
      </c>
      <c r="P293" s="5">
        <f t="shared" si="79"/>
        <v>1.02</v>
      </c>
      <c r="R293" s="96">
        <f t="shared" si="80"/>
        <v>4.1332894328221466</v>
      </c>
      <c r="S293" s="95">
        <f t="shared" si="81"/>
        <v>0.97657663413788276</v>
      </c>
      <c r="T293" s="96">
        <f t="shared" si="82"/>
        <v>60.099071555555561</v>
      </c>
      <c r="U293" s="97"/>
      <c r="V293" s="97">
        <f t="shared" si="86"/>
        <v>52.605501872281877</v>
      </c>
      <c r="W293" s="96">
        <f t="shared" si="76"/>
        <v>58.691349014536222</v>
      </c>
      <c r="X293" s="96">
        <f t="shared" si="89"/>
        <v>0.78220115866169548</v>
      </c>
      <c r="Y293" s="96">
        <f t="shared" si="83"/>
        <v>0.91373047204788627</v>
      </c>
      <c r="Z293" s="96">
        <f t="shared" si="87"/>
        <v>352.16272025371865</v>
      </c>
      <c r="AA293" s="97">
        <f t="shared" si="90"/>
        <v>54.397279746281711</v>
      </c>
      <c r="AB293" s="97">
        <f t="shared" si="91"/>
        <v>264.39727974628209</v>
      </c>
      <c r="AC293" s="97">
        <f t="shared" si="92"/>
        <v>4106.2971533115178</v>
      </c>
      <c r="AD293" s="96"/>
      <c r="AE293" s="105">
        <f t="shared" si="84"/>
        <v>22.162720253718646</v>
      </c>
    </row>
    <row r="294" spans="5:31" x14ac:dyDescent="0.35">
      <c r="E294" s="100">
        <f t="shared" si="75"/>
        <v>1.2027777777778095</v>
      </c>
      <c r="F294" s="5">
        <v>20</v>
      </c>
      <c r="G294" s="5">
        <f t="shared" si="88"/>
        <v>140</v>
      </c>
      <c r="H294" s="106">
        <f t="shared" si="88"/>
        <v>3.8194444444444443E-3</v>
      </c>
      <c r="I294" s="110">
        <f t="shared" si="85"/>
        <v>1.7687499999999998E-2</v>
      </c>
      <c r="J294" s="5">
        <v>1.05</v>
      </c>
      <c r="K294" s="5">
        <v>0</v>
      </c>
      <c r="L294" s="5">
        <v>0</v>
      </c>
      <c r="N294" s="5">
        <f t="shared" si="77"/>
        <v>140</v>
      </c>
      <c r="O294" s="97">
        <f t="shared" si="78"/>
        <v>181.81818181818184</v>
      </c>
      <c r="P294" s="5">
        <f t="shared" si="79"/>
        <v>1.02</v>
      </c>
      <c r="R294" s="96">
        <f t="shared" si="80"/>
        <v>4.1332894328221466</v>
      </c>
      <c r="S294" s="95">
        <f t="shared" si="81"/>
        <v>0.9764251099168656</v>
      </c>
      <c r="T294" s="96">
        <f t="shared" si="82"/>
        <v>60.099071555555561</v>
      </c>
      <c r="U294" s="97"/>
      <c r="V294" s="97">
        <f t="shared" si="86"/>
        <v>52.605501872281877</v>
      </c>
      <c r="W294" s="96">
        <f t="shared" si="76"/>
        <v>58.682242549534912</v>
      </c>
      <c r="X294" s="96">
        <f t="shared" si="89"/>
        <v>0.78152691834879129</v>
      </c>
      <c r="Y294" s="96">
        <f t="shared" si="83"/>
        <v>0.90609515092043591</v>
      </c>
      <c r="Z294" s="96">
        <f t="shared" si="87"/>
        <v>353.06881540463911</v>
      </c>
      <c r="AA294" s="97">
        <f t="shared" si="90"/>
        <v>53.491184595361275</v>
      </c>
      <c r="AB294" s="97">
        <f t="shared" si="91"/>
        <v>263.49118459536163</v>
      </c>
      <c r="AC294" s="97">
        <f t="shared" si="92"/>
        <v>4120.3225458902789</v>
      </c>
      <c r="AD294" s="96"/>
      <c r="AE294" s="105">
        <f t="shared" si="84"/>
        <v>23.068815404639111</v>
      </c>
    </row>
    <row r="295" spans="5:31" x14ac:dyDescent="0.35">
      <c r="E295" s="100">
        <f t="shared" si="75"/>
        <v>1.203472222222254</v>
      </c>
      <c r="F295" s="5">
        <v>20</v>
      </c>
      <c r="G295" s="5">
        <f t="shared" si="88"/>
        <v>140</v>
      </c>
      <c r="H295" s="106">
        <f t="shared" si="88"/>
        <v>3.8194444444444443E-3</v>
      </c>
      <c r="I295" s="110">
        <f t="shared" si="85"/>
        <v>1.7687499999999998E-2</v>
      </c>
      <c r="J295" s="5">
        <v>1.05</v>
      </c>
      <c r="K295" s="5">
        <v>0</v>
      </c>
      <c r="L295" s="5">
        <v>0</v>
      </c>
      <c r="N295" s="5">
        <f t="shared" si="77"/>
        <v>140</v>
      </c>
      <c r="O295" s="97">
        <f t="shared" si="78"/>
        <v>181.81818181818184</v>
      </c>
      <c r="P295" s="5">
        <f t="shared" si="79"/>
        <v>1.02</v>
      </c>
      <c r="R295" s="96">
        <f t="shared" si="80"/>
        <v>4.1332894328221466</v>
      </c>
      <c r="S295" s="95">
        <f t="shared" si="81"/>
        <v>0.97627485186363128</v>
      </c>
      <c r="T295" s="96">
        <f t="shared" si="82"/>
        <v>60.099071555555561</v>
      </c>
      <c r="U295" s="97"/>
      <c r="V295" s="97">
        <f t="shared" si="86"/>
        <v>52.605501872281877</v>
      </c>
      <c r="W295" s="96">
        <f t="shared" si="76"/>
        <v>58.67321218004178</v>
      </c>
      <c r="X295" s="96">
        <f t="shared" si="89"/>
        <v>0.78085831212762802</v>
      </c>
      <c r="Y295" s="96">
        <f t="shared" si="83"/>
        <v>0.89852592878491799</v>
      </c>
      <c r="Z295" s="96">
        <f t="shared" si="87"/>
        <v>353.96734133342403</v>
      </c>
      <c r="AA295" s="97">
        <f t="shared" si="90"/>
        <v>52.592658666576355</v>
      </c>
      <c r="AB295" s="97">
        <f t="shared" si="91"/>
        <v>262.59265866657671</v>
      </c>
      <c r="AC295" s="97">
        <f t="shared" si="92"/>
        <v>4134.3457801589311</v>
      </c>
      <c r="AD295" s="96"/>
      <c r="AE295" s="105">
        <f t="shared" si="84"/>
        <v>23.967341333424031</v>
      </c>
    </row>
    <row r="296" spans="5:31" x14ac:dyDescent="0.35">
      <c r="E296" s="100">
        <f t="shared" si="75"/>
        <v>1.2041666666666986</v>
      </c>
      <c r="F296" s="5">
        <v>20</v>
      </c>
      <c r="G296" s="5">
        <f t="shared" si="88"/>
        <v>140</v>
      </c>
      <c r="H296" s="106">
        <f t="shared" si="88"/>
        <v>3.8194444444444443E-3</v>
      </c>
      <c r="I296" s="110">
        <f t="shared" si="85"/>
        <v>1.7687499999999998E-2</v>
      </c>
      <c r="J296" s="5">
        <v>1.05</v>
      </c>
      <c r="K296" s="5">
        <v>0</v>
      </c>
      <c r="L296" s="5">
        <v>0</v>
      </c>
      <c r="N296" s="5">
        <f t="shared" si="77"/>
        <v>140</v>
      </c>
      <c r="O296" s="97">
        <f t="shared" si="78"/>
        <v>181.81818181818184</v>
      </c>
      <c r="P296" s="5">
        <f t="shared" si="79"/>
        <v>1.02</v>
      </c>
      <c r="R296" s="96">
        <f t="shared" si="80"/>
        <v>4.1332894328221466</v>
      </c>
      <c r="S296" s="95">
        <f t="shared" si="81"/>
        <v>0.97612584901696275</v>
      </c>
      <c r="T296" s="96">
        <f t="shared" si="82"/>
        <v>60.099071555555561</v>
      </c>
      <c r="U296" s="97"/>
      <c r="V296" s="97">
        <f t="shared" si="86"/>
        <v>52.605501872281877</v>
      </c>
      <c r="W296" s="96">
        <f t="shared" si="76"/>
        <v>58.664257247297869</v>
      </c>
      <c r="X296" s="96">
        <f t="shared" si="89"/>
        <v>0.78019529122386111</v>
      </c>
      <c r="Y296" s="96">
        <f t="shared" si="83"/>
        <v>0.89102219590503029</v>
      </c>
      <c r="Z296" s="96">
        <f t="shared" si="87"/>
        <v>354.85836352932904</v>
      </c>
      <c r="AA296" s="97">
        <f t="shared" si="90"/>
        <v>51.701636470671325</v>
      </c>
      <c r="AB296" s="97">
        <f t="shared" si="91"/>
        <v>261.7016364706717</v>
      </c>
      <c r="AC296" s="97">
        <f t="shared" si="92"/>
        <v>4148.3668741472911</v>
      </c>
      <c r="AD296" s="96"/>
      <c r="AE296" s="105">
        <f t="shared" si="84"/>
        <v>24.85836352932904</v>
      </c>
    </row>
    <row r="297" spans="5:31" x14ac:dyDescent="0.35">
      <c r="E297" s="100">
        <f t="shared" si="75"/>
        <v>1.2048611111111431</v>
      </c>
      <c r="F297" s="5">
        <v>20</v>
      </c>
      <c r="G297" s="5">
        <f t="shared" si="88"/>
        <v>140</v>
      </c>
      <c r="H297" s="106">
        <f t="shared" si="88"/>
        <v>3.8194444444444443E-3</v>
      </c>
      <c r="I297" s="110">
        <f t="shared" si="85"/>
        <v>1.7687499999999998E-2</v>
      </c>
      <c r="J297" s="5">
        <v>1.05</v>
      </c>
      <c r="K297" s="5">
        <v>0</v>
      </c>
      <c r="L297" s="5">
        <v>0</v>
      </c>
      <c r="N297" s="5">
        <f t="shared" si="77"/>
        <v>140</v>
      </c>
      <c r="O297" s="97">
        <f t="shared" si="78"/>
        <v>181.81818181818184</v>
      </c>
      <c r="P297" s="5">
        <f t="shared" si="79"/>
        <v>1.02</v>
      </c>
      <c r="R297" s="96">
        <f t="shared" si="80"/>
        <v>4.1332894328221466</v>
      </c>
      <c r="S297" s="95">
        <f t="shared" si="81"/>
        <v>0.97597809051675533</v>
      </c>
      <c r="T297" s="96">
        <f t="shared" si="82"/>
        <v>60.099071555555561</v>
      </c>
      <c r="U297" s="97"/>
      <c r="V297" s="97">
        <f t="shared" si="86"/>
        <v>52.605501872281877</v>
      </c>
      <c r="W297" s="96">
        <f t="shared" si="76"/>
        <v>58.65537709862096</v>
      </c>
      <c r="X297" s="96">
        <f t="shared" si="89"/>
        <v>0.77953780731306932</v>
      </c>
      <c r="Y297" s="96">
        <f t="shared" si="83"/>
        <v>0.88358334877756339</v>
      </c>
      <c r="Z297" s="96">
        <f t="shared" si="87"/>
        <v>355.7419468781066</v>
      </c>
      <c r="AA297" s="97">
        <f t="shared" si="90"/>
        <v>50.818053121893762</v>
      </c>
      <c r="AB297" s="97">
        <f t="shared" si="91"/>
        <v>260.81805312189414</v>
      </c>
      <c r="AC297" s="97">
        <f t="shared" si="92"/>
        <v>4162.3858457291799</v>
      </c>
      <c r="AD297" s="96"/>
      <c r="AE297" s="105">
        <f t="shared" si="84"/>
        <v>25.741946878106603</v>
      </c>
    </row>
    <row r="298" spans="5:31" x14ac:dyDescent="0.35">
      <c r="E298" s="100">
        <f t="shared" si="75"/>
        <v>1.2055555555555877</v>
      </c>
      <c r="F298" s="5">
        <v>20</v>
      </c>
      <c r="G298" s="5">
        <f t="shared" si="88"/>
        <v>140</v>
      </c>
      <c r="H298" s="106">
        <f t="shared" si="88"/>
        <v>3.8194444444444443E-3</v>
      </c>
      <c r="I298" s="110">
        <f t="shared" si="85"/>
        <v>1.7687499999999998E-2</v>
      </c>
      <c r="J298" s="5">
        <v>1.05</v>
      </c>
      <c r="K298" s="5">
        <v>0</v>
      </c>
      <c r="L298" s="5">
        <v>0</v>
      </c>
      <c r="N298" s="5">
        <f t="shared" si="77"/>
        <v>140</v>
      </c>
      <c r="O298" s="97">
        <f t="shared" si="78"/>
        <v>181.81818181818184</v>
      </c>
      <c r="P298" s="5">
        <f t="shared" si="79"/>
        <v>1.02</v>
      </c>
      <c r="R298" s="96">
        <f t="shared" si="80"/>
        <v>4.1332894328221466</v>
      </c>
      <c r="S298" s="95">
        <f t="shared" si="81"/>
        <v>0.97583156560298379</v>
      </c>
      <c r="T298" s="96">
        <f t="shared" si="82"/>
        <v>60.099071555555561</v>
      </c>
      <c r="U298" s="97"/>
      <c r="V298" s="97">
        <f t="shared" si="86"/>
        <v>52.605501872281877</v>
      </c>
      <c r="W298" s="96">
        <f t="shared" si="76"/>
        <v>58.646571087343531</v>
      </c>
      <c r="X298" s="96">
        <f t="shared" si="89"/>
        <v>0.77888581251615552</v>
      </c>
      <c r="Y298" s="96">
        <f t="shared" si="83"/>
        <v>0.87620879005900965</v>
      </c>
      <c r="Z298" s="96">
        <f t="shared" si="87"/>
        <v>356.61815566816563</v>
      </c>
      <c r="AA298" s="97">
        <f t="shared" si="90"/>
        <v>49.941844331834751</v>
      </c>
      <c r="AB298" s="97">
        <f t="shared" si="91"/>
        <v>259.94184433183511</v>
      </c>
      <c r="AC298" s="97">
        <f t="shared" si="92"/>
        <v>4176.4027126238607</v>
      </c>
      <c r="AD298" s="96"/>
      <c r="AE298" s="105">
        <f t="shared" si="84"/>
        <v>26.618155668165628</v>
      </c>
    </row>
    <row r="299" spans="5:31" x14ac:dyDescent="0.35">
      <c r="E299" s="100">
        <f t="shared" si="75"/>
        <v>1.2062500000000322</v>
      </c>
      <c r="F299" s="5">
        <v>20</v>
      </c>
      <c r="G299" s="5">
        <f t="shared" si="88"/>
        <v>140</v>
      </c>
      <c r="H299" s="106">
        <f t="shared" si="88"/>
        <v>3.8194444444444443E-3</v>
      </c>
      <c r="I299" s="110">
        <f t="shared" si="85"/>
        <v>1.7687499999999998E-2</v>
      </c>
      <c r="J299" s="5">
        <v>1.05</v>
      </c>
      <c r="K299" s="5">
        <v>0</v>
      </c>
      <c r="L299" s="5">
        <v>0</v>
      </c>
      <c r="N299" s="5">
        <f t="shared" si="77"/>
        <v>140</v>
      </c>
      <c r="O299" s="97">
        <f t="shared" si="78"/>
        <v>181.81818181818184</v>
      </c>
      <c r="P299" s="5">
        <f t="shared" si="79"/>
        <v>1.02</v>
      </c>
      <c r="R299" s="96">
        <f t="shared" si="80"/>
        <v>4.1332894328221466</v>
      </c>
      <c r="S299" s="95">
        <f t="shared" si="81"/>
        <v>0.97568626361468014</v>
      </c>
      <c r="T299" s="96">
        <f t="shared" si="82"/>
        <v>60.099071555555561</v>
      </c>
      <c r="U299" s="97"/>
      <c r="V299" s="97">
        <f t="shared" si="86"/>
        <v>52.605501872281877</v>
      </c>
      <c r="W299" s="96">
        <f t="shared" si="76"/>
        <v>58.637838572751306</v>
      </c>
      <c r="X299" s="96">
        <f t="shared" si="89"/>
        <v>0.77823925939480154</v>
      </c>
      <c r="Y299" s="96">
        <f t="shared" si="83"/>
        <v>0.86889792849318026</v>
      </c>
      <c r="Z299" s="96">
        <f t="shared" si="87"/>
        <v>357.48705359665882</v>
      </c>
      <c r="AA299" s="97">
        <f t="shared" si="90"/>
        <v>49.072946403341568</v>
      </c>
      <c r="AB299" s="97">
        <f t="shared" si="91"/>
        <v>259.07294640334192</v>
      </c>
      <c r="AC299" s="97">
        <f t="shared" si="92"/>
        <v>4190.4174923974624</v>
      </c>
      <c r="AD299" s="96"/>
      <c r="AE299" s="105">
        <f t="shared" si="84"/>
        <v>27.487053596658825</v>
      </c>
    </row>
    <row r="300" spans="5:31" x14ac:dyDescent="0.35">
      <c r="E300" s="100">
        <f t="shared" si="75"/>
        <v>1.2069444444444768</v>
      </c>
      <c r="F300" s="5">
        <v>20</v>
      </c>
      <c r="G300" s="5">
        <f t="shared" si="88"/>
        <v>140</v>
      </c>
      <c r="H300" s="106">
        <f t="shared" si="88"/>
        <v>3.8194444444444443E-3</v>
      </c>
      <c r="I300" s="110">
        <f t="shared" si="85"/>
        <v>1.7687499999999998E-2</v>
      </c>
      <c r="J300" s="5">
        <v>1.05</v>
      </c>
      <c r="K300" s="5">
        <v>0</v>
      </c>
      <c r="L300" s="5">
        <v>0</v>
      </c>
      <c r="N300" s="5">
        <f t="shared" si="77"/>
        <v>140</v>
      </c>
      <c r="O300" s="97">
        <f t="shared" si="78"/>
        <v>181.81818181818184</v>
      </c>
      <c r="P300" s="5">
        <f t="shared" si="79"/>
        <v>1.02</v>
      </c>
      <c r="R300" s="96">
        <f t="shared" si="80"/>
        <v>4.1332894328221466</v>
      </c>
      <c r="S300" s="95">
        <f t="shared" si="81"/>
        <v>0.97554217398892495</v>
      </c>
      <c r="T300" s="96">
        <f t="shared" si="82"/>
        <v>60.099071555555561</v>
      </c>
      <c r="U300" s="97"/>
      <c r="V300" s="97">
        <f t="shared" si="86"/>
        <v>52.605501872281877</v>
      </c>
      <c r="W300" s="96">
        <f t="shared" si="76"/>
        <v>58.629178920022632</v>
      </c>
      <c r="X300" s="96">
        <f t="shared" si="89"/>
        <v>0.7775981009469759</v>
      </c>
      <c r="Y300" s="96">
        <f t="shared" si="83"/>
        <v>0.86165017883981632</v>
      </c>
      <c r="Z300" s="96">
        <f t="shared" si="87"/>
        <v>358.34870377549862</v>
      </c>
      <c r="AA300" s="97">
        <f t="shared" si="90"/>
        <v>48.211296224501751</v>
      </c>
      <c r="AB300" s="97">
        <f t="shared" si="91"/>
        <v>258.21129622450212</v>
      </c>
      <c r="AC300" s="97">
        <f t="shared" si="92"/>
        <v>4204.4302024643894</v>
      </c>
      <c r="AD300" s="96"/>
      <c r="AE300" s="105">
        <f t="shared" si="84"/>
        <v>28.34870377549862</v>
      </c>
    </row>
    <row r="301" spans="5:31" x14ac:dyDescent="0.35">
      <c r="E301" s="100">
        <f t="shared" si="75"/>
        <v>1.2076388888889213</v>
      </c>
      <c r="F301" s="5">
        <v>20</v>
      </c>
      <c r="G301" s="5">
        <f t="shared" si="88"/>
        <v>140</v>
      </c>
      <c r="H301" s="106">
        <f t="shared" si="88"/>
        <v>3.8194444444444443E-3</v>
      </c>
      <c r="I301" s="110">
        <f t="shared" si="85"/>
        <v>1.7687499999999998E-2</v>
      </c>
      <c r="J301" s="5">
        <v>1.05</v>
      </c>
      <c r="K301" s="5">
        <v>0</v>
      </c>
      <c r="L301" s="5">
        <v>0</v>
      </c>
      <c r="N301" s="5">
        <f t="shared" si="77"/>
        <v>140</v>
      </c>
      <c r="O301" s="97">
        <f t="shared" si="78"/>
        <v>181.81818181818184</v>
      </c>
      <c r="P301" s="5">
        <f t="shared" si="79"/>
        <v>1.02</v>
      </c>
      <c r="R301" s="96">
        <f t="shared" si="80"/>
        <v>4.1332894328221466</v>
      </c>
      <c r="S301" s="95">
        <f t="shared" si="81"/>
        <v>0.9753992862598494</v>
      </c>
      <c r="T301" s="96">
        <f t="shared" si="82"/>
        <v>60.099071555555561</v>
      </c>
      <c r="U301" s="97"/>
      <c r="V301" s="97">
        <f t="shared" si="86"/>
        <v>52.605501872281877</v>
      </c>
      <c r="W301" s="96">
        <f t="shared" si="76"/>
        <v>58.620591500168509</v>
      </c>
      <c r="X301" s="96">
        <f t="shared" si="89"/>
        <v>0.77696229060249555</v>
      </c>
      <c r="Y301" s="96">
        <f t="shared" si="83"/>
        <v>0.8544649618041954</v>
      </c>
      <c r="Z301" s="96">
        <f t="shared" si="87"/>
        <v>359.2031687373028</v>
      </c>
      <c r="AA301" s="97">
        <f t="shared" si="90"/>
        <v>47.356831262697554</v>
      </c>
      <c r="AB301" s="97">
        <f t="shared" si="91"/>
        <v>257.35683126269794</v>
      </c>
      <c r="AC301" s="97">
        <f t="shared" si="92"/>
        <v>4218.4408600887127</v>
      </c>
      <c r="AD301" s="96"/>
      <c r="AE301" s="105">
        <f t="shared" si="84"/>
        <v>29.203168737302803</v>
      </c>
    </row>
    <row r="302" spans="5:31" x14ac:dyDescent="0.35">
      <c r="E302" s="100">
        <f t="shared" si="75"/>
        <v>1.2083333333333659</v>
      </c>
      <c r="F302" s="5">
        <v>20</v>
      </c>
      <c r="G302" s="5">
        <f t="shared" si="88"/>
        <v>140</v>
      </c>
      <c r="H302" s="106">
        <f t="shared" si="88"/>
        <v>3.8194444444444443E-3</v>
      </c>
      <c r="I302" s="110">
        <f t="shared" si="85"/>
        <v>1.7687499999999998E-2</v>
      </c>
      <c r="J302" s="5">
        <v>1.05</v>
      </c>
      <c r="K302" s="5">
        <v>0</v>
      </c>
      <c r="L302" s="5">
        <v>0</v>
      </c>
      <c r="N302" s="5">
        <f t="shared" si="77"/>
        <v>140</v>
      </c>
      <c r="O302" s="97">
        <f t="shared" si="78"/>
        <v>181.81818181818184</v>
      </c>
      <c r="P302" s="5">
        <f t="shared" si="79"/>
        <v>1.0249999999999999</v>
      </c>
      <c r="R302" s="96">
        <f t="shared" si="80"/>
        <v>4.153550655532058</v>
      </c>
      <c r="S302" s="95">
        <f t="shared" si="81"/>
        <v>0.975257590057649</v>
      </c>
      <c r="T302" s="96">
        <f t="shared" si="82"/>
        <v>60.099071555555561</v>
      </c>
      <c r="U302" s="97"/>
      <c r="V302" s="97">
        <f t="shared" si="86"/>
        <v>52.863371979498929</v>
      </c>
      <c r="W302" s="96">
        <f t="shared" si="76"/>
        <v>58.612075689973317</v>
      </c>
      <c r="X302" s="96">
        <f t="shared" si="89"/>
        <v>0.77633178221863763</v>
      </c>
      <c r="Y302" s="96">
        <f t="shared" si="83"/>
        <v>0.84734170396767994</v>
      </c>
      <c r="Z302" s="96">
        <f t="shared" si="87"/>
        <v>360.05051044127049</v>
      </c>
      <c r="AA302" s="97">
        <f t="shared" si="90"/>
        <v>46.509489558729875</v>
      </c>
      <c r="AB302" s="97">
        <f t="shared" si="91"/>
        <v>256.50948955873025</v>
      </c>
      <c r="AC302" s="97">
        <f t="shared" si="92"/>
        <v>4232.4494823855512</v>
      </c>
      <c r="AD302" s="96"/>
      <c r="AE302" s="105">
        <f t="shared" si="84"/>
        <v>5.0510441270489537E-2</v>
      </c>
    </row>
    <row r="303" spans="5:31" x14ac:dyDescent="0.35">
      <c r="E303" s="100">
        <f t="shared" si="75"/>
        <v>1.2090277777778105</v>
      </c>
      <c r="F303" s="5">
        <v>20</v>
      </c>
      <c r="G303" s="5">
        <f t="shared" si="88"/>
        <v>140</v>
      </c>
      <c r="H303" s="106">
        <f t="shared" si="88"/>
        <v>3.8194444444444443E-3</v>
      </c>
      <c r="I303" s="110">
        <f t="shared" si="85"/>
        <v>1.7687499999999998E-2</v>
      </c>
      <c r="J303" s="5">
        <v>1.05</v>
      </c>
      <c r="K303" s="5">
        <v>0</v>
      </c>
      <c r="L303" s="5">
        <v>0</v>
      </c>
      <c r="N303" s="5">
        <f t="shared" si="77"/>
        <v>140</v>
      </c>
      <c r="O303" s="97">
        <f t="shared" si="78"/>
        <v>181.81818181818184</v>
      </c>
      <c r="P303" s="5">
        <f t="shared" si="79"/>
        <v>1.0249999999999999</v>
      </c>
      <c r="R303" s="96">
        <f t="shared" si="80"/>
        <v>4.153550655532058</v>
      </c>
      <c r="S303" s="95">
        <f t="shared" si="81"/>
        <v>0.97511707510760981</v>
      </c>
      <c r="T303" s="96">
        <f t="shared" si="82"/>
        <v>60.099071555555561</v>
      </c>
      <c r="U303" s="97"/>
      <c r="V303" s="97">
        <f t="shared" si="86"/>
        <v>52.863371979498929</v>
      </c>
      <c r="W303" s="96">
        <f t="shared" si="76"/>
        <v>58.603630871936289</v>
      </c>
      <c r="X303" s="96">
        <f t="shared" si="89"/>
        <v>0.77570653007580437</v>
      </c>
      <c r="Y303" s="96">
        <f t="shared" si="83"/>
        <v>0.84027983771923942</v>
      </c>
      <c r="Z303" s="96">
        <f t="shared" si="87"/>
        <v>360.89079027898975</v>
      </c>
      <c r="AA303" s="97">
        <f t="shared" si="90"/>
        <v>45.669209721010638</v>
      </c>
      <c r="AB303" s="97">
        <f t="shared" si="91"/>
        <v>255.66920972101101</v>
      </c>
      <c r="AC303" s="97">
        <f t="shared" si="92"/>
        <v>4246.4560863224388</v>
      </c>
      <c r="AD303" s="96"/>
      <c r="AE303" s="105">
        <f t="shared" si="84"/>
        <v>0.89079027898975482</v>
      </c>
    </row>
    <row r="304" spans="5:31" x14ac:dyDescent="0.35">
      <c r="E304" s="100">
        <f t="shared" si="75"/>
        <v>1.209722222222255</v>
      </c>
      <c r="F304" s="5">
        <v>20</v>
      </c>
      <c r="G304" s="5">
        <f t="shared" si="88"/>
        <v>140</v>
      </c>
      <c r="H304" s="106">
        <f t="shared" si="88"/>
        <v>3.8194444444444443E-3</v>
      </c>
      <c r="I304" s="110">
        <f t="shared" si="85"/>
        <v>1.7687499999999998E-2</v>
      </c>
      <c r="J304" s="5">
        <v>1.05</v>
      </c>
      <c r="K304" s="5">
        <v>0</v>
      </c>
      <c r="L304" s="5">
        <v>0</v>
      </c>
      <c r="N304" s="5">
        <f t="shared" si="77"/>
        <v>140</v>
      </c>
      <c r="O304" s="97">
        <f t="shared" si="78"/>
        <v>181.81818181818184</v>
      </c>
      <c r="P304" s="5">
        <f t="shared" si="79"/>
        <v>1.0249999999999999</v>
      </c>
      <c r="R304" s="96">
        <f t="shared" si="80"/>
        <v>4.153550655532058</v>
      </c>
      <c r="S304" s="95">
        <f t="shared" si="81"/>
        <v>0.97497773122914477</v>
      </c>
      <c r="T304" s="96">
        <f t="shared" si="82"/>
        <v>60.099071555555561</v>
      </c>
      <c r="U304" s="97"/>
      <c r="V304" s="97">
        <f t="shared" si="86"/>
        <v>52.863371979498929</v>
      </c>
      <c r="W304" s="96">
        <f t="shared" si="76"/>
        <v>58.595256434213589</v>
      </c>
      <c r="X304" s="96">
        <f t="shared" si="89"/>
        <v>0.77508648887323706</v>
      </c>
      <c r="Y304" s="96">
        <f t="shared" si="83"/>
        <v>0.83327880118788877</v>
      </c>
      <c r="Z304" s="96">
        <f t="shared" si="87"/>
        <v>361.72406908017763</v>
      </c>
      <c r="AA304" s="97">
        <f t="shared" si="90"/>
        <v>44.835930919822751</v>
      </c>
      <c r="AB304" s="97">
        <f t="shared" si="91"/>
        <v>254.83593091982311</v>
      </c>
      <c r="AC304" s="97">
        <f t="shared" si="92"/>
        <v>4260.4606887206737</v>
      </c>
      <c r="AD304" s="96"/>
      <c r="AE304" s="105">
        <f t="shared" si="84"/>
        <v>1.7240690801776282</v>
      </c>
    </row>
    <row r="305" spans="5:31" x14ac:dyDescent="0.35">
      <c r="E305" s="100">
        <f t="shared" si="75"/>
        <v>1.2104166666666996</v>
      </c>
      <c r="F305" s="5">
        <v>20</v>
      </c>
      <c r="G305" s="5">
        <f t="shared" si="88"/>
        <v>140</v>
      </c>
      <c r="H305" s="106">
        <f t="shared" si="88"/>
        <v>3.8194444444444443E-3</v>
      </c>
      <c r="I305" s="110">
        <f t="shared" si="85"/>
        <v>1.7687499999999998E-2</v>
      </c>
      <c r="J305" s="5">
        <v>1.05</v>
      </c>
      <c r="K305" s="5">
        <v>0</v>
      </c>
      <c r="L305" s="5">
        <v>0</v>
      </c>
      <c r="N305" s="5">
        <f t="shared" si="77"/>
        <v>140</v>
      </c>
      <c r="O305" s="97">
        <f t="shared" si="78"/>
        <v>181.81818181818184</v>
      </c>
      <c r="P305" s="5">
        <f t="shared" si="79"/>
        <v>1.0249999999999999</v>
      </c>
      <c r="R305" s="96">
        <f t="shared" si="80"/>
        <v>4.153550655532058</v>
      </c>
      <c r="S305" s="95">
        <f t="shared" si="81"/>
        <v>0.97483954833484188</v>
      </c>
      <c r="T305" s="96">
        <f t="shared" si="82"/>
        <v>60.099071555555561</v>
      </c>
      <c r="U305" s="97"/>
      <c r="V305" s="97">
        <f t="shared" si="86"/>
        <v>52.863371979498929</v>
      </c>
      <c r="W305" s="96">
        <f t="shared" si="76"/>
        <v>58.586951770561129</v>
      </c>
      <c r="X305" s="96">
        <f t="shared" si="89"/>
        <v>0.77447161372478079</v>
      </c>
      <c r="Y305" s="96">
        <f t="shared" si="83"/>
        <v>0.82633803817605933</v>
      </c>
      <c r="Z305" s="96">
        <f t="shared" si="87"/>
        <v>362.55040711835369</v>
      </c>
      <c r="AA305" s="97">
        <f t="shared" si="90"/>
        <v>44.009592881646689</v>
      </c>
      <c r="AB305" s="97">
        <f t="shared" si="91"/>
        <v>254.00959288164705</v>
      </c>
      <c r="AC305" s="97">
        <f t="shared" si="92"/>
        <v>4274.4633062566591</v>
      </c>
      <c r="AD305" s="96"/>
      <c r="AE305" s="105">
        <f t="shared" si="84"/>
        <v>2.5504071183536894</v>
      </c>
    </row>
    <row r="306" spans="5:31" x14ac:dyDescent="0.35">
      <c r="E306" s="100">
        <f t="shared" si="75"/>
        <v>1.2111111111111441</v>
      </c>
      <c r="F306" s="5">
        <v>20</v>
      </c>
      <c r="G306" s="5">
        <f t="shared" si="88"/>
        <v>140</v>
      </c>
      <c r="H306" s="106">
        <f t="shared" si="88"/>
        <v>3.8194444444444443E-3</v>
      </c>
      <c r="I306" s="110">
        <f t="shared" si="85"/>
        <v>1.7687499999999998E-2</v>
      </c>
      <c r="J306" s="5">
        <v>1.05</v>
      </c>
      <c r="K306" s="5">
        <v>0</v>
      </c>
      <c r="L306" s="5">
        <v>0</v>
      </c>
      <c r="N306" s="5">
        <f t="shared" si="77"/>
        <v>140</v>
      </c>
      <c r="O306" s="97">
        <f t="shared" si="78"/>
        <v>181.81818181818184</v>
      </c>
      <c r="P306" s="5">
        <f t="shared" si="79"/>
        <v>1.0249999999999999</v>
      </c>
      <c r="R306" s="96">
        <f t="shared" si="80"/>
        <v>4.153550655532058</v>
      </c>
      <c r="S306" s="95">
        <f t="shared" si="81"/>
        <v>0.97470251642952421</v>
      </c>
      <c r="T306" s="96">
        <f t="shared" si="82"/>
        <v>60.099071555555561</v>
      </c>
      <c r="U306" s="97"/>
      <c r="V306" s="97">
        <f t="shared" si="86"/>
        <v>52.863371979498929</v>
      </c>
      <c r="W306" s="96">
        <f t="shared" si="76"/>
        <v>58.578716280278044</v>
      </c>
      <c r="X306" s="96">
        <f t="shared" si="89"/>
        <v>0.77386186015469816</v>
      </c>
      <c r="Y306" s="96">
        <f t="shared" si="83"/>
        <v>0.81945699809387107</v>
      </c>
      <c r="Z306" s="96">
        <f t="shared" si="87"/>
        <v>363.36986411644756</v>
      </c>
      <c r="AA306" s="97">
        <f t="shared" si="90"/>
        <v>43.19013588355282</v>
      </c>
      <c r="AB306" s="97">
        <f t="shared" si="91"/>
        <v>253.19013588355318</v>
      </c>
      <c r="AC306" s="97">
        <f t="shared" si="92"/>
        <v>4288.4639554632267</v>
      </c>
      <c r="AD306" s="96"/>
      <c r="AE306" s="105">
        <f t="shared" si="84"/>
        <v>3.3698641164475589</v>
      </c>
    </row>
    <row r="307" spans="5:31" x14ac:dyDescent="0.35">
      <c r="E307" s="100">
        <f t="shared" si="75"/>
        <v>1.2118055555555887</v>
      </c>
      <c r="F307" s="5">
        <v>20</v>
      </c>
      <c r="G307" s="5">
        <f t="shared" si="88"/>
        <v>140</v>
      </c>
      <c r="H307" s="106">
        <f t="shared" si="88"/>
        <v>3.8194444444444443E-3</v>
      </c>
      <c r="I307" s="110">
        <f t="shared" si="85"/>
        <v>1.7687499999999998E-2</v>
      </c>
      <c r="J307" s="5">
        <v>1.05</v>
      </c>
      <c r="K307" s="5">
        <v>0</v>
      </c>
      <c r="L307" s="5">
        <v>0</v>
      </c>
      <c r="N307" s="5">
        <f t="shared" si="77"/>
        <v>140</v>
      </c>
      <c r="O307" s="97">
        <f t="shared" si="78"/>
        <v>181.81818181818184</v>
      </c>
      <c r="P307" s="5">
        <f t="shared" si="79"/>
        <v>1.0249999999999999</v>
      </c>
      <c r="R307" s="96">
        <f t="shared" si="80"/>
        <v>4.153550655532058</v>
      </c>
      <c r="S307" s="95">
        <f t="shared" si="81"/>
        <v>0.97456662560931884</v>
      </c>
      <c r="T307" s="96">
        <f t="shared" si="82"/>
        <v>60.099071555555561</v>
      </c>
      <c r="U307" s="97"/>
      <c r="V307" s="97">
        <f t="shared" si="86"/>
        <v>52.863371979498929</v>
      </c>
      <c r="W307" s="96">
        <f t="shared" si="76"/>
        <v>58.570549368150779</v>
      </c>
      <c r="X307" s="96">
        <f t="shared" si="89"/>
        <v>0.77325718409353084</v>
      </c>
      <c r="Y307" s="96">
        <f t="shared" si="83"/>
        <v>0.81263513589429159</v>
      </c>
      <c r="Z307" s="96">
        <f t="shared" si="87"/>
        <v>364.18249925234187</v>
      </c>
      <c r="AA307" s="97">
        <f t="shared" si="90"/>
        <v>42.37750074765853</v>
      </c>
      <c r="AB307" s="97">
        <f t="shared" si="91"/>
        <v>252.3775007476589</v>
      </c>
      <c r="AC307" s="97">
        <f t="shared" si="92"/>
        <v>4302.4626527309492</v>
      </c>
      <c r="AD307" s="96"/>
      <c r="AE307" s="105">
        <f t="shared" si="84"/>
        <v>4.18249925234187</v>
      </c>
    </row>
    <row r="308" spans="5:31" x14ac:dyDescent="0.35">
      <c r="E308" s="100">
        <f t="shared" si="75"/>
        <v>1.2125000000000332</v>
      </c>
      <c r="F308" s="5">
        <v>20</v>
      </c>
      <c r="G308" s="5">
        <f t="shared" si="88"/>
        <v>140</v>
      </c>
      <c r="H308" s="106">
        <f t="shared" si="88"/>
        <v>3.8194444444444443E-3</v>
      </c>
      <c r="I308" s="110">
        <f t="shared" si="85"/>
        <v>1.7687499999999998E-2</v>
      </c>
      <c r="J308" s="5">
        <v>1.05</v>
      </c>
      <c r="K308" s="5">
        <v>0</v>
      </c>
      <c r="L308" s="5">
        <v>0</v>
      </c>
      <c r="N308" s="5">
        <f t="shared" si="77"/>
        <v>140</v>
      </c>
      <c r="O308" s="97">
        <f t="shared" si="78"/>
        <v>181.81818181818184</v>
      </c>
      <c r="P308" s="5">
        <f t="shared" si="79"/>
        <v>1.0249999999999999</v>
      </c>
      <c r="R308" s="96">
        <f t="shared" si="80"/>
        <v>4.153550655532058</v>
      </c>
      <c r="S308" s="95">
        <f t="shared" si="81"/>
        <v>0.97443186606073795</v>
      </c>
      <c r="T308" s="96">
        <f t="shared" si="82"/>
        <v>60.099071555555561</v>
      </c>
      <c r="U308" s="97"/>
      <c r="V308" s="97">
        <f t="shared" si="86"/>
        <v>52.863371979498929</v>
      </c>
      <c r="W308" s="96">
        <f t="shared" si="76"/>
        <v>58.562450444397825</v>
      </c>
      <c r="X308" s="96">
        <f t="shared" si="89"/>
        <v>0.77265754187401026</v>
      </c>
      <c r="Y308" s="96">
        <f t="shared" si="83"/>
        <v>0.8058719120091834</v>
      </c>
      <c r="Z308" s="96">
        <f t="shared" si="87"/>
        <v>364.98837116435107</v>
      </c>
      <c r="AA308" s="97">
        <f t="shared" si="90"/>
        <v>41.571628835649349</v>
      </c>
      <c r="AB308" s="97">
        <f t="shared" si="91"/>
        <v>251.5716288356497</v>
      </c>
      <c r="AC308" s="97">
        <f t="shared" si="92"/>
        <v>4316.4594143094382</v>
      </c>
      <c r="AD308" s="96"/>
      <c r="AE308" s="105">
        <f t="shared" si="84"/>
        <v>4.9883711643510651</v>
      </c>
    </row>
    <row r="309" spans="5:31" x14ac:dyDescent="0.35">
      <c r="E309" s="100">
        <f t="shared" si="75"/>
        <v>1.2131944444444778</v>
      </c>
      <c r="F309" s="5">
        <v>20</v>
      </c>
      <c r="G309" s="5">
        <f t="shared" si="88"/>
        <v>140</v>
      </c>
      <c r="H309" s="106">
        <f t="shared" si="88"/>
        <v>3.8194444444444443E-3</v>
      </c>
      <c r="I309" s="110">
        <f t="shared" si="85"/>
        <v>1.7687499999999998E-2</v>
      </c>
      <c r="J309" s="5">
        <v>1.05</v>
      </c>
      <c r="K309" s="5">
        <v>0</v>
      </c>
      <c r="L309" s="5">
        <v>0</v>
      </c>
      <c r="N309" s="5">
        <f t="shared" si="77"/>
        <v>140</v>
      </c>
      <c r="O309" s="97">
        <f t="shared" si="78"/>
        <v>181.81818181818184</v>
      </c>
      <c r="P309" s="5">
        <f t="shared" si="79"/>
        <v>1.0249999999999999</v>
      </c>
      <c r="R309" s="96">
        <f t="shared" si="80"/>
        <v>4.153550655532058</v>
      </c>
      <c r="S309" s="95">
        <f t="shared" si="81"/>
        <v>0.97429822805977129</v>
      </c>
      <c r="T309" s="96">
        <f t="shared" si="82"/>
        <v>60.099071555555561</v>
      </c>
      <c r="U309" s="97"/>
      <c r="V309" s="97">
        <f t="shared" si="86"/>
        <v>52.863371979498929</v>
      </c>
      <c r="W309" s="96">
        <f t="shared" si="76"/>
        <v>58.554418924615184</v>
      </c>
      <c r="X309" s="96">
        <f t="shared" si="89"/>
        <v>0.77206289022701413</v>
      </c>
      <c r="Y309" s="96">
        <f t="shared" si="83"/>
        <v>0.7991667922862018</v>
      </c>
      <c r="Z309" s="96">
        <f t="shared" si="87"/>
        <v>365.78753795663727</v>
      </c>
      <c r="AA309" s="97">
        <f t="shared" si="90"/>
        <v>40.772462043363149</v>
      </c>
      <c r="AB309" s="97">
        <f t="shared" si="91"/>
        <v>250.7724620433635</v>
      </c>
      <c r="AC309" s="97">
        <f t="shared" si="92"/>
        <v>4330.4542563086288</v>
      </c>
      <c r="AD309" s="96"/>
      <c r="AE309" s="105">
        <f t="shared" si="84"/>
        <v>5.7875379566372658</v>
      </c>
    </row>
    <row r="310" spans="5:31" x14ac:dyDescent="0.35">
      <c r="E310" s="100">
        <f t="shared" si="75"/>
        <v>1.2138888888889223</v>
      </c>
      <c r="F310" s="5">
        <v>20</v>
      </c>
      <c r="G310" s="5">
        <f t="shared" si="88"/>
        <v>140</v>
      </c>
      <c r="H310" s="106">
        <f t="shared" si="88"/>
        <v>3.8194444444444443E-3</v>
      </c>
      <c r="I310" s="110">
        <f t="shared" si="85"/>
        <v>1.7687499999999998E-2</v>
      </c>
      <c r="J310" s="5">
        <v>1.05</v>
      </c>
      <c r="K310" s="5">
        <v>0</v>
      </c>
      <c r="L310" s="5">
        <v>0</v>
      </c>
      <c r="N310" s="5">
        <f t="shared" si="77"/>
        <v>140</v>
      </c>
      <c r="O310" s="97">
        <f t="shared" si="78"/>
        <v>181.81818181818184</v>
      </c>
      <c r="P310" s="5">
        <f t="shared" si="79"/>
        <v>1.0249999999999999</v>
      </c>
      <c r="R310" s="96">
        <f t="shared" si="80"/>
        <v>4.153550655532058</v>
      </c>
      <c r="S310" s="95">
        <f t="shared" si="81"/>
        <v>0.97416570197098651</v>
      </c>
      <c r="T310" s="96">
        <f t="shared" si="82"/>
        <v>60.099071555555561</v>
      </c>
      <c r="U310" s="97"/>
      <c r="V310" s="97">
        <f t="shared" si="86"/>
        <v>52.863371979498929</v>
      </c>
      <c r="W310" s="96">
        <f t="shared" si="76"/>
        <v>58.546454229722329</v>
      </c>
      <c r="X310" s="96">
        <f t="shared" si="89"/>
        <v>0.77147318627757033</v>
      </c>
      <c r="Y310" s="96">
        <f t="shared" si="83"/>
        <v>0.7925192479265516</v>
      </c>
      <c r="Z310" s="96">
        <f t="shared" si="87"/>
        <v>366.58005720456384</v>
      </c>
      <c r="AA310" s="97">
        <f t="shared" si="90"/>
        <v>39.9799427954366</v>
      </c>
      <c r="AB310" s="97">
        <f t="shared" si="91"/>
        <v>249.97994279543695</v>
      </c>
      <c r="AC310" s="97">
        <f t="shared" si="92"/>
        <v>4344.4471947000538</v>
      </c>
      <c r="AD310" s="96"/>
      <c r="AE310" s="105">
        <f t="shared" si="84"/>
        <v>6.5800572045638432</v>
      </c>
    </row>
    <row r="311" spans="5:31" x14ac:dyDescent="0.35">
      <c r="E311" s="100">
        <f t="shared" ref="E311:E374" si="93">E310+TIME(0,1,0)</f>
        <v>1.2145833333333669</v>
      </c>
      <c r="F311" s="5">
        <v>20</v>
      </c>
      <c r="G311" s="5">
        <f t="shared" si="88"/>
        <v>140</v>
      </c>
      <c r="H311" s="106">
        <f t="shared" si="88"/>
        <v>3.8194444444444443E-3</v>
      </c>
      <c r="I311" s="110">
        <f t="shared" si="85"/>
        <v>1.7687499999999998E-2</v>
      </c>
      <c r="J311" s="5">
        <v>1.05</v>
      </c>
      <c r="K311" s="5">
        <v>0</v>
      </c>
      <c r="L311" s="5">
        <v>0</v>
      </c>
      <c r="N311" s="5">
        <f t="shared" si="77"/>
        <v>140</v>
      </c>
      <c r="O311" s="97">
        <f t="shared" si="78"/>
        <v>181.81818181818184</v>
      </c>
      <c r="P311" s="5">
        <f t="shared" si="79"/>
        <v>1.0249999999999999</v>
      </c>
      <c r="R311" s="96">
        <f t="shared" si="80"/>
        <v>4.153550655532058</v>
      </c>
      <c r="S311" s="95">
        <f t="shared" si="81"/>
        <v>0.97403427824664235</v>
      </c>
      <c r="T311" s="96">
        <f t="shared" si="82"/>
        <v>60.099071555555561</v>
      </c>
      <c r="U311" s="97"/>
      <c r="V311" s="97">
        <f t="shared" si="86"/>
        <v>52.863371979498929</v>
      </c>
      <c r="W311" s="96">
        <f t="shared" ref="W311:W374" si="94">S311*T311</f>
        <v>58.538555785908876</v>
      </c>
      <c r="X311" s="96">
        <f t="shared" si="89"/>
        <v>0.77088838754090672</v>
      </c>
      <c r="Y311" s="96">
        <f t="shared" si="83"/>
        <v>0.7859287554235791</v>
      </c>
      <c r="Z311" s="96">
        <f t="shared" si="87"/>
        <v>367.36598595998743</v>
      </c>
      <c r="AA311" s="97">
        <f t="shared" si="90"/>
        <v>39.194014040013023</v>
      </c>
      <c r="AB311" s="97">
        <f t="shared" si="91"/>
        <v>249.19401404001337</v>
      </c>
      <c r="AC311" s="97">
        <f t="shared" si="92"/>
        <v>4358.4382453181006</v>
      </c>
      <c r="AD311" s="96"/>
      <c r="AE311" s="105">
        <f t="shared" si="84"/>
        <v>7.3659859599874267</v>
      </c>
    </row>
    <row r="312" spans="5:31" x14ac:dyDescent="0.35">
      <c r="E312" s="100">
        <f t="shared" si="93"/>
        <v>1.2152777777778114</v>
      </c>
      <c r="F312" s="5">
        <v>20</v>
      </c>
      <c r="G312" s="5">
        <f t="shared" si="88"/>
        <v>140</v>
      </c>
      <c r="H312" s="106">
        <f t="shared" si="88"/>
        <v>3.8194444444444443E-3</v>
      </c>
      <c r="I312" s="110">
        <f t="shared" si="85"/>
        <v>1.7687499999999998E-2</v>
      </c>
      <c r="J312" s="5">
        <v>1.05</v>
      </c>
      <c r="K312" s="5">
        <v>0</v>
      </c>
      <c r="L312" s="5">
        <v>0</v>
      </c>
      <c r="N312" s="5">
        <f t="shared" si="77"/>
        <v>140</v>
      </c>
      <c r="O312" s="97">
        <f t="shared" si="78"/>
        <v>181.81818181818184</v>
      </c>
      <c r="P312" s="5">
        <f t="shared" si="79"/>
        <v>1.0249999999999999</v>
      </c>
      <c r="R312" s="96">
        <f t="shared" si="80"/>
        <v>4.153550655532058</v>
      </c>
      <c r="S312" s="95">
        <f t="shared" si="81"/>
        <v>0.97390394742581088</v>
      </c>
      <c r="T312" s="96">
        <f t="shared" si="82"/>
        <v>60.099071555555561</v>
      </c>
      <c r="U312" s="97"/>
      <c r="V312" s="97">
        <f t="shared" si="86"/>
        <v>52.863371979498929</v>
      </c>
      <c r="W312" s="96">
        <f t="shared" si="94"/>
        <v>58.530723024581832</v>
      </c>
      <c r="X312" s="96">
        <f t="shared" si="89"/>
        <v>0.7703084519185458</v>
      </c>
      <c r="Y312" s="96">
        <f t="shared" si="83"/>
        <v>0.77939479650218479</v>
      </c>
      <c r="Z312" s="96">
        <f t="shared" si="87"/>
        <v>368.1453807564896</v>
      </c>
      <c r="AA312" s="97">
        <f t="shared" si="90"/>
        <v>38.414619243510842</v>
      </c>
      <c r="AB312" s="97">
        <f t="shared" si="91"/>
        <v>248.4146192435112</v>
      </c>
      <c r="AC312" s="97">
        <f t="shared" si="92"/>
        <v>4372.4274238612606</v>
      </c>
      <c r="AD312" s="96"/>
      <c r="AE312" s="105">
        <f t="shared" si="84"/>
        <v>8.145380756489601</v>
      </c>
    </row>
    <row r="313" spans="5:31" x14ac:dyDescent="0.35">
      <c r="E313" s="100">
        <f t="shared" si="93"/>
        <v>1.215972222222256</v>
      </c>
      <c r="F313" s="5">
        <v>20</v>
      </c>
      <c r="G313" s="5">
        <f t="shared" si="88"/>
        <v>140</v>
      </c>
      <c r="H313" s="106">
        <f t="shared" si="88"/>
        <v>3.8194444444444443E-3</v>
      </c>
      <c r="I313" s="110">
        <f t="shared" si="85"/>
        <v>1.7687499999999998E-2</v>
      </c>
      <c r="J313" s="5">
        <v>1.05</v>
      </c>
      <c r="K313" s="5">
        <v>0</v>
      </c>
      <c r="L313" s="5">
        <v>0</v>
      </c>
      <c r="N313" s="5">
        <f t="shared" si="77"/>
        <v>140</v>
      </c>
      <c r="O313" s="97">
        <f t="shared" si="78"/>
        <v>181.81818181818184</v>
      </c>
      <c r="P313" s="5">
        <f t="shared" si="79"/>
        <v>1.0249999999999999</v>
      </c>
      <c r="R313" s="96">
        <f t="shared" si="80"/>
        <v>4.153550655532058</v>
      </c>
      <c r="S313" s="95">
        <f t="shared" si="81"/>
        <v>0.9737747001335102</v>
      </c>
      <c r="T313" s="96">
        <f t="shared" si="82"/>
        <v>60.099071555555561</v>
      </c>
      <c r="U313" s="97"/>
      <c r="V313" s="97">
        <f t="shared" si="86"/>
        <v>52.863371979498929</v>
      </c>
      <c r="W313" s="96">
        <f t="shared" si="94"/>
        <v>58.522955382313491</v>
      </c>
      <c r="X313" s="96">
        <f t="shared" si="89"/>
        <v>0.76973333769444441</v>
      </c>
      <c r="Y313" s="96">
        <f t="shared" si="83"/>
        <v>0.77291685805904775</v>
      </c>
      <c r="Z313" s="96">
        <f t="shared" si="87"/>
        <v>368.91829761454864</v>
      </c>
      <c r="AA313" s="97">
        <f t="shared" si="90"/>
        <v>37.641702385451794</v>
      </c>
      <c r="AB313" s="97">
        <f t="shared" si="91"/>
        <v>247.64170238545216</v>
      </c>
      <c r="AC313" s="97">
        <f t="shared" si="92"/>
        <v>4386.4147458933621</v>
      </c>
      <c r="AD313" s="96"/>
      <c r="AE313" s="105">
        <f t="shared" si="84"/>
        <v>8.918297614548635</v>
      </c>
    </row>
    <row r="314" spans="5:31" x14ac:dyDescent="0.35">
      <c r="E314" s="100">
        <f t="shared" si="93"/>
        <v>1.2166666666667005</v>
      </c>
      <c r="F314" s="5">
        <v>20</v>
      </c>
      <c r="G314" s="5">
        <f t="shared" si="88"/>
        <v>140</v>
      </c>
      <c r="H314" s="106">
        <f t="shared" si="88"/>
        <v>3.8194444444444443E-3</v>
      </c>
      <c r="I314" s="110">
        <f t="shared" si="85"/>
        <v>1.7687499999999998E-2</v>
      </c>
      <c r="J314" s="5">
        <v>1.05</v>
      </c>
      <c r="K314" s="5">
        <v>0</v>
      </c>
      <c r="L314" s="5">
        <v>0</v>
      </c>
      <c r="N314" s="5">
        <f t="shared" si="77"/>
        <v>140</v>
      </c>
      <c r="O314" s="97">
        <f t="shared" si="78"/>
        <v>181.81818181818184</v>
      </c>
      <c r="P314" s="5">
        <f t="shared" si="79"/>
        <v>1.0249999999999999</v>
      </c>
      <c r="R314" s="96">
        <f t="shared" si="80"/>
        <v>4.153550655532058</v>
      </c>
      <c r="S314" s="95">
        <f t="shared" si="81"/>
        <v>0.97364652707984589</v>
      </c>
      <c r="T314" s="96">
        <f t="shared" si="82"/>
        <v>60.099071555555561</v>
      </c>
      <c r="U314" s="97"/>
      <c r="V314" s="97">
        <f t="shared" si="86"/>
        <v>52.863371979498929</v>
      </c>
      <c r="W314" s="96">
        <f t="shared" si="94"/>
        <v>58.515252300789825</v>
      </c>
      <c r="X314" s="96">
        <f t="shared" si="89"/>
        <v>0.76916300353117772</v>
      </c>
      <c r="Y314" s="96">
        <f t="shared" si="83"/>
        <v>0.76649443210365242</v>
      </c>
      <c r="Z314" s="96">
        <f t="shared" si="87"/>
        <v>369.68479204665226</v>
      </c>
      <c r="AA314" s="97">
        <f t="shared" si="90"/>
        <v>36.875207953348138</v>
      </c>
      <c r="AB314" s="97">
        <f t="shared" si="91"/>
        <v>246.87520795334851</v>
      </c>
      <c r="AC314" s="97">
        <f t="shared" si="92"/>
        <v>4400.4002268447939</v>
      </c>
      <c r="AD314" s="96"/>
      <c r="AE314" s="105">
        <f t="shared" si="84"/>
        <v>9.6847920466522623</v>
      </c>
    </row>
    <row r="315" spans="5:31" x14ac:dyDescent="0.35">
      <c r="E315" s="100">
        <f t="shared" si="93"/>
        <v>1.2173611111111451</v>
      </c>
      <c r="F315" s="5">
        <v>20</v>
      </c>
      <c r="G315" s="5">
        <f t="shared" si="88"/>
        <v>140</v>
      </c>
      <c r="H315" s="106">
        <f t="shared" si="88"/>
        <v>3.8194444444444443E-3</v>
      </c>
      <c r="I315" s="110">
        <f t="shared" si="85"/>
        <v>1.7687499999999998E-2</v>
      </c>
      <c r="J315" s="5">
        <v>1.05</v>
      </c>
      <c r="K315" s="5">
        <v>0</v>
      </c>
      <c r="L315" s="5">
        <v>0</v>
      </c>
      <c r="N315" s="5">
        <f t="shared" si="77"/>
        <v>140</v>
      </c>
      <c r="O315" s="97">
        <f t="shared" si="78"/>
        <v>181.81818181818184</v>
      </c>
      <c r="P315" s="5">
        <f t="shared" si="79"/>
        <v>1.0249999999999999</v>
      </c>
      <c r="R315" s="96">
        <f t="shared" si="80"/>
        <v>4.153550655532058</v>
      </c>
      <c r="S315" s="95">
        <f t="shared" si="81"/>
        <v>0.97351941905916417</v>
      </c>
      <c r="T315" s="96">
        <f t="shared" si="82"/>
        <v>60.099071555555561</v>
      </c>
      <c r="U315" s="97"/>
      <c r="V315" s="97">
        <f t="shared" si="86"/>
        <v>52.863371979498929</v>
      </c>
      <c r="W315" s="96">
        <f t="shared" si="94"/>
        <v>58.507613226759588</v>
      </c>
      <c r="X315" s="96">
        <f t="shared" si="89"/>
        <v>0.7685974084661662</v>
      </c>
      <c r="Y315" s="96">
        <f t="shared" si="83"/>
        <v>0.76012701570009444</v>
      </c>
      <c r="Z315" s="96">
        <f t="shared" si="87"/>
        <v>370.44491906235237</v>
      </c>
      <c r="AA315" s="97">
        <f t="shared" si="90"/>
        <v>36.115080937648045</v>
      </c>
      <c r="AB315" s="97">
        <f t="shared" si="91"/>
        <v>246.1150809376484</v>
      </c>
      <c r="AC315" s="97">
        <f t="shared" si="92"/>
        <v>4414.3838820137134</v>
      </c>
      <c r="AD315" s="96"/>
      <c r="AE315" s="105">
        <f t="shared" si="84"/>
        <v>10.444919062352369</v>
      </c>
    </row>
    <row r="316" spans="5:31" x14ac:dyDescent="0.35">
      <c r="E316" s="100">
        <f t="shared" si="93"/>
        <v>1.2180555555555896</v>
      </c>
      <c r="F316" s="5">
        <v>20</v>
      </c>
      <c r="G316" s="5">
        <f t="shared" si="88"/>
        <v>140</v>
      </c>
      <c r="H316" s="106">
        <f t="shared" si="88"/>
        <v>3.8194444444444443E-3</v>
      </c>
      <c r="I316" s="110">
        <f t="shared" si="85"/>
        <v>1.7687499999999998E-2</v>
      </c>
      <c r="J316" s="5">
        <v>1.05</v>
      </c>
      <c r="K316" s="5">
        <v>0</v>
      </c>
      <c r="L316" s="5">
        <v>0</v>
      </c>
      <c r="N316" s="5">
        <f t="shared" si="77"/>
        <v>140</v>
      </c>
      <c r="O316" s="97">
        <f t="shared" si="78"/>
        <v>181.81818181818184</v>
      </c>
      <c r="P316" s="5">
        <f t="shared" si="79"/>
        <v>1.0249999999999999</v>
      </c>
      <c r="R316" s="96">
        <f t="shared" si="80"/>
        <v>4.153550655532058</v>
      </c>
      <c r="S316" s="95">
        <f t="shared" si="81"/>
        <v>0.9733933669492133</v>
      </c>
      <c r="T316" s="96">
        <f t="shared" si="82"/>
        <v>60.099071555555561</v>
      </c>
      <c r="U316" s="97"/>
      <c r="V316" s="97">
        <f t="shared" si="86"/>
        <v>52.863371979498929</v>
      </c>
      <c r="W316" s="96">
        <f t="shared" si="94"/>
        <v>58.50003761198392</v>
      </c>
      <c r="X316" s="96">
        <f t="shared" si="89"/>
        <v>0.76803651190794586</v>
      </c>
      <c r="Y316" s="96">
        <f t="shared" si="83"/>
        <v>0.75381411090966421</v>
      </c>
      <c r="Z316" s="96">
        <f t="shared" si="87"/>
        <v>371.19873317326204</v>
      </c>
      <c r="AA316" s="97">
        <f t="shared" si="90"/>
        <v>35.36126682673838</v>
      </c>
      <c r="AB316" s="97">
        <f t="shared" si="91"/>
        <v>245.36126682673873</v>
      </c>
      <c r="AC316" s="97">
        <f t="shared" si="92"/>
        <v>4428.3657265672473</v>
      </c>
      <c r="AD316" s="96"/>
      <c r="AE316" s="105">
        <f t="shared" si="84"/>
        <v>11.198733173262042</v>
      </c>
    </row>
    <row r="317" spans="5:31" x14ac:dyDescent="0.35">
      <c r="E317" s="100">
        <f t="shared" si="93"/>
        <v>1.2187500000000342</v>
      </c>
      <c r="F317" s="5">
        <v>20</v>
      </c>
      <c r="G317" s="5">
        <f t="shared" si="88"/>
        <v>140</v>
      </c>
      <c r="H317" s="106">
        <f t="shared" si="88"/>
        <v>3.8194444444444443E-3</v>
      </c>
      <c r="I317" s="110">
        <f t="shared" si="85"/>
        <v>1.7687499999999998E-2</v>
      </c>
      <c r="J317" s="5">
        <v>1.05</v>
      </c>
      <c r="K317" s="5">
        <v>0</v>
      </c>
      <c r="L317" s="5">
        <v>0</v>
      </c>
      <c r="N317" s="5">
        <f t="shared" si="77"/>
        <v>140</v>
      </c>
      <c r="O317" s="97">
        <f t="shared" si="78"/>
        <v>181.81818181818184</v>
      </c>
      <c r="P317" s="5">
        <f t="shared" si="79"/>
        <v>1.0249999999999999</v>
      </c>
      <c r="R317" s="96">
        <f t="shared" si="80"/>
        <v>4.153550655532058</v>
      </c>
      <c r="S317" s="95">
        <f t="shared" si="81"/>
        <v>0.9732683617103145</v>
      </c>
      <c r="T317" s="96">
        <f t="shared" si="82"/>
        <v>60.099071555555561</v>
      </c>
      <c r="U317" s="97"/>
      <c r="V317" s="97">
        <f t="shared" si="86"/>
        <v>52.863371979498929</v>
      </c>
      <c r="W317" s="96">
        <f t="shared" si="94"/>
        <v>58.492524913186521</v>
      </c>
      <c r="X317" s="96">
        <f t="shared" si="89"/>
        <v>0.76748027363248128</v>
      </c>
      <c r="Y317" s="96">
        <f t="shared" si="83"/>
        <v>0.74755522473419644</v>
      </c>
      <c r="Z317" s="96">
        <f t="shared" si="87"/>
        <v>371.94628839799623</v>
      </c>
      <c r="AA317" s="97">
        <f t="shared" si="90"/>
        <v>34.61371160200418</v>
      </c>
      <c r="AB317" s="97">
        <f t="shared" si="91"/>
        <v>244.61371160200454</v>
      </c>
      <c r="AC317" s="97">
        <f t="shared" si="92"/>
        <v>4442.3457755426743</v>
      </c>
      <c r="AD317" s="96"/>
      <c r="AE317" s="105">
        <f t="shared" si="84"/>
        <v>11.946288397996227</v>
      </c>
    </row>
    <row r="318" spans="5:31" x14ac:dyDescent="0.35">
      <c r="E318" s="100">
        <f t="shared" si="93"/>
        <v>1.2194444444444787</v>
      </c>
      <c r="F318" s="5">
        <v>20</v>
      </c>
      <c r="G318" s="5">
        <f t="shared" si="88"/>
        <v>140</v>
      </c>
      <c r="H318" s="106">
        <f t="shared" si="88"/>
        <v>3.8194444444444443E-3</v>
      </c>
      <c r="I318" s="110">
        <f t="shared" si="85"/>
        <v>1.7687499999999998E-2</v>
      </c>
      <c r="J318" s="5">
        <v>1.05</v>
      </c>
      <c r="K318" s="5">
        <v>0</v>
      </c>
      <c r="L318" s="5">
        <v>0</v>
      </c>
      <c r="N318" s="5">
        <f t="shared" si="77"/>
        <v>140</v>
      </c>
      <c r="O318" s="97">
        <f t="shared" si="78"/>
        <v>181.81818181818184</v>
      </c>
      <c r="P318" s="5">
        <f t="shared" si="79"/>
        <v>1.0249999999999999</v>
      </c>
      <c r="R318" s="96">
        <f t="shared" si="80"/>
        <v>4.153550655532058</v>
      </c>
      <c r="S318" s="95">
        <f t="shared" si="81"/>
        <v>0.97314439438454359</v>
      </c>
      <c r="T318" s="96">
        <f t="shared" si="82"/>
        <v>60.099071555555561</v>
      </c>
      <c r="U318" s="97"/>
      <c r="V318" s="97">
        <f t="shared" si="86"/>
        <v>52.863371979498929</v>
      </c>
      <c r="W318" s="96">
        <f t="shared" si="94"/>
        <v>58.485074592004466</v>
      </c>
      <c r="X318" s="96">
        <f t="shared" si="89"/>
        <v>0.76692865377951924</v>
      </c>
      <c r="Y318" s="96">
        <f t="shared" si="83"/>
        <v>0.74134986906015665</v>
      </c>
      <c r="Z318" s="96">
        <f t="shared" si="87"/>
        <v>372.6876382670564</v>
      </c>
      <c r="AA318" s="97">
        <f t="shared" si="90"/>
        <v>33.872361732944022</v>
      </c>
      <c r="AB318" s="97">
        <f t="shared" si="91"/>
        <v>243.8723617329444</v>
      </c>
      <c r="AC318" s="97">
        <f t="shared" si="92"/>
        <v>4456.3240438486027</v>
      </c>
      <c r="AD318" s="96"/>
      <c r="AE318" s="105">
        <f t="shared" si="84"/>
        <v>12.6876382670564</v>
      </c>
    </row>
    <row r="319" spans="5:31" x14ac:dyDescent="0.35">
      <c r="E319" s="100">
        <f t="shared" si="93"/>
        <v>1.2201388888889233</v>
      </c>
      <c r="F319" s="5">
        <v>20</v>
      </c>
      <c r="G319" s="5">
        <f t="shared" si="88"/>
        <v>140</v>
      </c>
      <c r="H319" s="106">
        <f t="shared" si="88"/>
        <v>3.8194444444444443E-3</v>
      </c>
      <c r="I319" s="110">
        <f t="shared" si="85"/>
        <v>1.7687499999999998E-2</v>
      </c>
      <c r="J319" s="5">
        <v>1.05</v>
      </c>
      <c r="K319" s="5">
        <v>0</v>
      </c>
      <c r="L319" s="5">
        <v>0</v>
      </c>
      <c r="N319" s="5">
        <f t="shared" si="77"/>
        <v>140</v>
      </c>
      <c r="O319" s="97">
        <f t="shared" si="78"/>
        <v>181.81818181818184</v>
      </c>
      <c r="P319" s="5">
        <f t="shared" si="79"/>
        <v>1.0249999999999999</v>
      </c>
      <c r="R319" s="96">
        <f t="shared" si="80"/>
        <v>4.153550655532058</v>
      </c>
      <c r="S319" s="95">
        <f t="shared" si="81"/>
        <v>0.97302145609491986</v>
      </c>
      <c r="T319" s="96">
        <f t="shared" si="82"/>
        <v>60.099071555555561</v>
      </c>
      <c r="U319" s="97"/>
      <c r="V319" s="97">
        <f t="shared" si="86"/>
        <v>52.863371979498929</v>
      </c>
      <c r="W319" s="96">
        <f t="shared" si="94"/>
        <v>58.477686114939452</v>
      </c>
      <c r="X319" s="96">
        <f t="shared" si="89"/>
        <v>0.76638161284898487</v>
      </c>
      <c r="Y319" s="96">
        <f t="shared" si="83"/>
        <v>0.73519756060347941</v>
      </c>
      <c r="Z319" s="96">
        <f t="shared" si="87"/>
        <v>373.42283582765987</v>
      </c>
      <c r="AA319" s="97">
        <f t="shared" si="90"/>
        <v>33.13716417234054</v>
      </c>
      <c r="AB319" s="97">
        <f t="shared" si="91"/>
        <v>243.13716417234093</v>
      </c>
      <c r="AC319" s="97">
        <f t="shared" si="92"/>
        <v>4470.3005462661313</v>
      </c>
      <c r="AD319" s="96"/>
      <c r="AE319" s="105">
        <f t="shared" si="84"/>
        <v>13.422835827659867</v>
      </c>
    </row>
    <row r="320" spans="5:31" x14ac:dyDescent="0.35">
      <c r="E320" s="100">
        <f t="shared" si="93"/>
        <v>1.2208333333333679</v>
      </c>
      <c r="F320" s="5">
        <v>20</v>
      </c>
      <c r="G320" s="5">
        <f t="shared" si="88"/>
        <v>140</v>
      </c>
      <c r="H320" s="106">
        <f t="shared" si="88"/>
        <v>3.8194444444444443E-3</v>
      </c>
      <c r="I320" s="110">
        <f t="shared" si="85"/>
        <v>1.7687499999999998E-2</v>
      </c>
      <c r="J320" s="5">
        <v>1.05</v>
      </c>
      <c r="K320" s="5">
        <v>0</v>
      </c>
      <c r="L320" s="5">
        <v>0</v>
      </c>
      <c r="N320" s="5">
        <f t="shared" si="77"/>
        <v>140</v>
      </c>
      <c r="O320" s="97">
        <f t="shared" si="78"/>
        <v>181.81818181818184</v>
      </c>
      <c r="P320" s="5">
        <f t="shared" si="79"/>
        <v>1.0249999999999999</v>
      </c>
      <c r="R320" s="96">
        <f t="shared" si="80"/>
        <v>4.153550655532058</v>
      </c>
      <c r="S320" s="95">
        <f t="shared" si="81"/>
        <v>0.97289953804460616</v>
      </c>
      <c r="T320" s="96">
        <f t="shared" si="82"/>
        <v>60.099071555555561</v>
      </c>
      <c r="U320" s="97"/>
      <c r="V320" s="97">
        <f t="shared" si="86"/>
        <v>52.863371979498929</v>
      </c>
      <c r="W320" s="96">
        <f t="shared" si="94"/>
        <v>58.470358953309734</v>
      </c>
      <c r="X320" s="96">
        <f t="shared" si="89"/>
        <v>0.76583911169741792</v>
      </c>
      <c r="Y320" s="96">
        <f t="shared" si="83"/>
        <v>0.72909782085512909</v>
      </c>
      <c r="Z320" s="96">
        <f t="shared" si="87"/>
        <v>374.15193364851501</v>
      </c>
      <c r="AA320" s="97">
        <f t="shared" si="90"/>
        <v>32.408066351485409</v>
      </c>
      <c r="AB320" s="97">
        <f t="shared" si="91"/>
        <v>242.40806635148581</v>
      </c>
      <c r="AC320" s="97">
        <f t="shared" si="92"/>
        <v>4484.2752974500008</v>
      </c>
      <c r="AD320" s="96"/>
      <c r="AE320" s="105">
        <f t="shared" si="84"/>
        <v>14.151933648515012</v>
      </c>
    </row>
    <row r="321" spans="5:31" x14ac:dyDescent="0.35">
      <c r="E321" s="100">
        <f t="shared" si="93"/>
        <v>1.2215277777778124</v>
      </c>
      <c r="F321" s="5">
        <v>20</v>
      </c>
      <c r="G321" s="5">
        <f t="shared" si="88"/>
        <v>140</v>
      </c>
      <c r="H321" s="106">
        <f t="shared" si="88"/>
        <v>3.8194444444444443E-3</v>
      </c>
      <c r="I321" s="110">
        <f t="shared" si="85"/>
        <v>1.7687499999999998E-2</v>
      </c>
      <c r="J321" s="5">
        <v>1.05</v>
      </c>
      <c r="K321" s="5">
        <v>0</v>
      </c>
      <c r="L321" s="5">
        <v>0</v>
      </c>
      <c r="N321" s="5">
        <f t="shared" si="77"/>
        <v>140</v>
      </c>
      <c r="O321" s="97">
        <f t="shared" si="78"/>
        <v>181.81818181818184</v>
      </c>
      <c r="P321" s="5">
        <f t="shared" si="79"/>
        <v>1.0249999999999999</v>
      </c>
      <c r="R321" s="96">
        <f t="shared" si="80"/>
        <v>4.153550655532058</v>
      </c>
      <c r="S321" s="95">
        <f t="shared" si="81"/>
        <v>0.97277863151611654</v>
      </c>
      <c r="T321" s="96">
        <f t="shared" si="82"/>
        <v>60.099071555555561</v>
      </c>
      <c r="U321" s="97"/>
      <c r="V321" s="97">
        <f t="shared" si="86"/>
        <v>52.863371979498929</v>
      </c>
      <c r="W321" s="96">
        <f t="shared" si="94"/>
        <v>58.463092583202503</v>
      </c>
      <c r="X321" s="96">
        <f t="shared" si="89"/>
        <v>0.76530111153444924</v>
      </c>
      <c r="Y321" s="96">
        <f t="shared" si="83"/>
        <v>0.7230501760273752</v>
      </c>
      <c r="Z321" s="96">
        <f t="shared" si="87"/>
        <v>374.87498382454237</v>
      </c>
      <c r="AA321" s="97">
        <f t="shared" si="90"/>
        <v>31.685016175458035</v>
      </c>
      <c r="AB321" s="97">
        <f t="shared" si="91"/>
        <v>241.68501617545843</v>
      </c>
      <c r="AC321" s="97">
        <f t="shared" si="92"/>
        <v>4498.248311929734</v>
      </c>
      <c r="AD321" s="96"/>
      <c r="AE321" s="105">
        <f t="shared" si="84"/>
        <v>14.874983824542369</v>
      </c>
    </row>
    <row r="322" spans="5:31" x14ac:dyDescent="0.35">
      <c r="E322" s="100">
        <f t="shared" si="93"/>
        <v>1.222222222222257</v>
      </c>
      <c r="F322" s="5">
        <v>20</v>
      </c>
      <c r="G322" s="5">
        <f t="shared" si="88"/>
        <v>140</v>
      </c>
      <c r="H322" s="106">
        <f t="shared" si="88"/>
        <v>3.8194444444444443E-3</v>
      </c>
      <c r="I322" s="110">
        <f t="shared" si="85"/>
        <v>1.7687499999999998E-2</v>
      </c>
      <c r="J322" s="5">
        <v>1.05</v>
      </c>
      <c r="K322" s="5">
        <v>0</v>
      </c>
      <c r="L322" s="5">
        <v>0</v>
      </c>
      <c r="N322" s="5">
        <f t="shared" si="77"/>
        <v>140</v>
      </c>
      <c r="O322" s="97">
        <f t="shared" si="78"/>
        <v>181.81818181818184</v>
      </c>
      <c r="P322" s="5">
        <f t="shared" si="79"/>
        <v>1.0249999999999999</v>
      </c>
      <c r="R322" s="96">
        <f t="shared" si="80"/>
        <v>4.153550655532058</v>
      </c>
      <c r="S322" s="95">
        <f t="shared" si="81"/>
        <v>0.97265872787053353</v>
      </c>
      <c r="T322" s="96">
        <f t="shared" si="82"/>
        <v>60.099071555555561</v>
      </c>
      <c r="U322" s="97"/>
      <c r="V322" s="97">
        <f t="shared" si="86"/>
        <v>52.863371979498929</v>
      </c>
      <c r="W322" s="96">
        <f t="shared" si="94"/>
        <v>58.455886485426838</v>
      </c>
      <c r="X322" s="96">
        <f t="shared" si="89"/>
        <v>0.76476757391931693</v>
      </c>
      <c r="Y322" s="96">
        <f t="shared" si="83"/>
        <v>0.71705415700077368</v>
      </c>
      <c r="Z322" s="96">
        <f t="shared" si="87"/>
        <v>375.59203798154311</v>
      </c>
      <c r="AA322" s="97">
        <f t="shared" si="90"/>
        <v>30.967962018457261</v>
      </c>
      <c r="AB322" s="97">
        <f t="shared" si="91"/>
        <v>270.96796201845768</v>
      </c>
      <c r="AC322" s="97">
        <f t="shared" si="92"/>
        <v>4512.2196041107636</v>
      </c>
      <c r="AD322" s="96"/>
      <c r="AE322" s="105">
        <f t="shared" si="84"/>
        <v>15.592037981543115</v>
      </c>
    </row>
    <row r="323" spans="5:31" x14ac:dyDescent="0.35">
      <c r="E323" s="100">
        <f t="shared" si="93"/>
        <v>1.2229166666667015</v>
      </c>
      <c r="F323" s="5">
        <v>20</v>
      </c>
      <c r="G323" s="5">
        <f t="shared" si="88"/>
        <v>140</v>
      </c>
      <c r="H323" s="106">
        <f t="shared" si="88"/>
        <v>3.8194444444444443E-3</v>
      </c>
      <c r="I323" s="110">
        <f t="shared" si="85"/>
        <v>1.7687499999999998E-2</v>
      </c>
      <c r="J323" s="5">
        <v>1.05</v>
      </c>
      <c r="K323" s="5">
        <v>0</v>
      </c>
      <c r="L323" s="5">
        <v>0</v>
      </c>
      <c r="N323" s="5">
        <f t="shared" ref="N323:N386" si="95">G323*(1-0.0015*MAX(0,F323-24))*1</f>
        <v>140</v>
      </c>
      <c r="O323" s="97">
        <f t="shared" ref="O323:O386" si="96">1/((MINUTE(H323)*60+SECOND(H323))/60/1000)</f>
        <v>181.81818181818184</v>
      </c>
      <c r="P323" s="5">
        <f t="shared" ref="P323:P386" si="97">1+MIN(0.25, IF(HOUR(E323)&lt;12,0.005*HOUR(E323), IF(HOUR(E323)&lt;24,MIN(0.1,0.005*HOUR(E323)+0.0025*HOUR(E323)),0.1))  +  (K323/300)*0.01  +  (L323/300)*0.02)</f>
        <v>1.0249999999999999</v>
      </c>
      <c r="R323" s="96">
        <f t="shared" ref="R323:R386" si="98">(155.4*POWER(I323,5) - 30.4*POWER(I323,4) - 43.3*POWER(I323,3) + 46.3*POWER(I323,2) + 19.5*I323 + $C$31)*J323*P323</f>
        <v>4.153550655532058</v>
      </c>
      <c r="S323" s="95">
        <f t="shared" ref="S323:S386" si="99">(1.106*X323+3.941)/(1.106*MAX(0.7,(0.7+0.3*(G323-$C$16)/($C$17-$C$16)))+3.941)</f>
        <v>0.97751472829263453</v>
      </c>
      <c r="T323" s="96">
        <f t="shared" ref="T323:T386" si="100">IF($C$12=1, -95.7735+(0.634*N323)+(0.404*$C$19)+(0.394*$C$14)+(0.271*$C$13), -59.3954+(0.45*N323)+(0.38*$C$19)+(0.103*$C$14)+(0.274*$C$13))+$C$30</f>
        <v>60.099071555555561</v>
      </c>
      <c r="U323" s="97"/>
      <c r="V323" s="97">
        <f t="shared" si="86"/>
        <v>52.863371979498929</v>
      </c>
      <c r="W323" s="96">
        <f t="shared" si="94"/>
        <v>58.747727602268498</v>
      </c>
      <c r="X323" s="96">
        <f t="shared" si="89"/>
        <v>0.78637541471255723</v>
      </c>
      <c r="Y323" s="96">
        <f t="shared" ref="Y323:Y386" si="101">(MAX(V323,W323) * (X323-0.7)/0.3)/17.6</f>
        <v>0.96105290436861546</v>
      </c>
      <c r="Z323" s="96">
        <f t="shared" si="87"/>
        <v>376.55309088591173</v>
      </c>
      <c r="AA323" s="97">
        <f t="shared" si="90"/>
        <v>30.006909114088646</v>
      </c>
      <c r="AB323" s="97">
        <f t="shared" si="91"/>
        <v>270.00690911408907</v>
      </c>
      <c r="AC323" s="97">
        <f t="shared" si="92"/>
        <v>4526.260647992759</v>
      </c>
      <c r="AD323" s="96"/>
      <c r="AE323" s="105">
        <f t="shared" ref="AE323:AE386" si="102">MOD(Z323,30)</f>
        <v>16.553090885911729</v>
      </c>
    </row>
    <row r="324" spans="5:31" x14ac:dyDescent="0.35">
      <c r="E324" s="100">
        <f t="shared" si="93"/>
        <v>1.2236111111111461</v>
      </c>
      <c r="F324" s="5">
        <v>20</v>
      </c>
      <c r="G324" s="5">
        <f t="shared" si="88"/>
        <v>140</v>
      </c>
      <c r="H324" s="106">
        <f t="shared" si="88"/>
        <v>3.8194444444444443E-3</v>
      </c>
      <c r="I324" s="110">
        <f t="shared" ref="I324:I387" si="103">(140+143)/16000</f>
        <v>1.7687499999999998E-2</v>
      </c>
      <c r="J324" s="5">
        <v>1.05</v>
      </c>
      <c r="K324" s="5">
        <v>0</v>
      </c>
      <c r="L324" s="5">
        <v>0</v>
      </c>
      <c r="N324" s="5">
        <f t="shared" si="95"/>
        <v>140</v>
      </c>
      <c r="O324" s="97">
        <f t="shared" si="96"/>
        <v>181.81818181818184</v>
      </c>
      <c r="P324" s="5">
        <f t="shared" si="97"/>
        <v>1.0249999999999999</v>
      </c>
      <c r="R324" s="96">
        <f t="shared" si="98"/>
        <v>4.153550655532058</v>
      </c>
      <c r="S324" s="95">
        <f t="shared" si="99"/>
        <v>0.97735535657729211</v>
      </c>
      <c r="T324" s="96">
        <f t="shared" si="100"/>
        <v>60.099071555555561</v>
      </c>
      <c r="U324" s="97"/>
      <c r="V324" s="97">
        <f t="shared" ref="V324:V387" si="104">O324*R324*$C$14/1000</f>
        <v>52.863371979498929</v>
      </c>
      <c r="W324" s="96">
        <f t="shared" si="94"/>
        <v>58.738149510144197</v>
      </c>
      <c r="X324" s="96">
        <f t="shared" si="89"/>
        <v>0.78566625524947531</v>
      </c>
      <c r="Y324" s="96">
        <f t="shared" si="101"/>
        <v>0.95300706606398822</v>
      </c>
      <c r="Z324" s="96">
        <f t="shared" ref="Z324:Z387" si="105">Z323+Y324</f>
        <v>377.50609795197573</v>
      </c>
      <c r="AA324" s="97">
        <f t="shared" si="90"/>
        <v>29.053902048024657</v>
      </c>
      <c r="AB324" s="97">
        <f t="shared" si="91"/>
        <v>269.05390204802507</v>
      </c>
      <c r="AC324" s="97">
        <f t="shared" si="92"/>
        <v>4540.2994026557953</v>
      </c>
      <c r="AD324" s="96"/>
      <c r="AE324" s="105">
        <f t="shared" si="102"/>
        <v>17.506097951975732</v>
      </c>
    </row>
    <row r="325" spans="5:31" x14ac:dyDescent="0.35">
      <c r="E325" s="100">
        <f t="shared" si="93"/>
        <v>1.2243055555555906</v>
      </c>
      <c r="F325" s="5">
        <v>20</v>
      </c>
      <c r="G325" s="5">
        <f t="shared" ref="G325:H388" si="106">G324</f>
        <v>140</v>
      </c>
      <c r="H325" s="106">
        <f t="shared" si="106"/>
        <v>3.8194444444444443E-3</v>
      </c>
      <c r="I325" s="110">
        <f t="shared" si="103"/>
        <v>1.7687499999999998E-2</v>
      </c>
      <c r="J325" s="5">
        <v>1.05</v>
      </c>
      <c r="K325" s="5">
        <v>0</v>
      </c>
      <c r="L325" s="5">
        <v>0</v>
      </c>
      <c r="N325" s="5">
        <f t="shared" si="95"/>
        <v>140</v>
      </c>
      <c r="O325" s="97">
        <f t="shared" si="96"/>
        <v>181.81818181818184</v>
      </c>
      <c r="P325" s="5">
        <f t="shared" si="97"/>
        <v>1.0249999999999999</v>
      </c>
      <c r="R325" s="96">
        <f t="shared" si="98"/>
        <v>4.153550655532058</v>
      </c>
      <c r="S325" s="95">
        <f t="shared" si="99"/>
        <v>0.97719731910592966</v>
      </c>
      <c r="T325" s="96">
        <f t="shared" si="100"/>
        <v>60.099071555555561</v>
      </c>
      <c r="U325" s="97"/>
      <c r="V325" s="97">
        <f t="shared" si="104"/>
        <v>52.863371979498929</v>
      </c>
      <c r="W325" s="96">
        <f t="shared" si="94"/>
        <v>58.72865160484433</v>
      </c>
      <c r="X325" s="96">
        <f t="shared" ref="X325:X388" si="107">MAX(0.7, (0.7+0.3*(G325-$C$16)/($C$17-$C$16)) - 0.3*($C$29-AB324)/$C$29)</f>
        <v>0.7849630327981294</v>
      </c>
      <c r="Y325" s="96">
        <f t="shared" si="101"/>
        <v>0.94503112736596717</v>
      </c>
      <c r="Z325" s="96">
        <f t="shared" si="105"/>
        <v>378.45112907934168</v>
      </c>
      <c r="AA325" s="97">
        <f t="shared" ref="AA325:AA388" si="108">AA324-Y325</f>
        <v>28.108870920658688</v>
      </c>
      <c r="AB325" s="97">
        <f t="shared" ref="AB325:AB388" si="109">AB324-Y325+IF(MOD(60*HOUR(E325)+MINUTE(E325),MINUTE($C$35))=0,$C$34,0)</f>
        <v>268.10887092065911</v>
      </c>
      <c r="AC325" s="97">
        <f t="shared" ref="AC325:AC388" si="110">MAX(V325,W325)/4.184+AC324</f>
        <v>4554.3358872649842</v>
      </c>
      <c r="AD325" s="96"/>
      <c r="AE325" s="105">
        <f t="shared" si="102"/>
        <v>18.451129079341683</v>
      </c>
    </row>
    <row r="326" spans="5:31" x14ac:dyDescent="0.35">
      <c r="E326" s="100">
        <f t="shared" si="93"/>
        <v>1.2250000000000352</v>
      </c>
      <c r="F326" s="5">
        <v>20</v>
      </c>
      <c r="G326" s="5">
        <f t="shared" si="106"/>
        <v>140</v>
      </c>
      <c r="H326" s="106">
        <f t="shared" si="106"/>
        <v>3.8194444444444443E-3</v>
      </c>
      <c r="I326" s="110">
        <f t="shared" si="103"/>
        <v>1.7687499999999998E-2</v>
      </c>
      <c r="J326" s="5">
        <v>1.05</v>
      </c>
      <c r="K326" s="5">
        <v>0</v>
      </c>
      <c r="L326" s="5">
        <v>0</v>
      </c>
      <c r="N326" s="5">
        <f t="shared" si="95"/>
        <v>140</v>
      </c>
      <c r="O326" s="97">
        <f t="shared" si="96"/>
        <v>181.81818181818184</v>
      </c>
      <c r="P326" s="5">
        <f t="shared" si="97"/>
        <v>1.0249999999999999</v>
      </c>
      <c r="R326" s="96">
        <f t="shared" si="98"/>
        <v>4.153550655532058</v>
      </c>
      <c r="S326" s="95">
        <f t="shared" si="99"/>
        <v>0.97704060428707251</v>
      </c>
      <c r="T326" s="96">
        <f t="shared" si="100"/>
        <v>60.099071555555561</v>
      </c>
      <c r="U326" s="97"/>
      <c r="V326" s="97">
        <f t="shared" si="104"/>
        <v>52.863371979498929</v>
      </c>
      <c r="W326" s="96">
        <f t="shared" si="94"/>
        <v>58.719233189732016</v>
      </c>
      <c r="X326" s="96">
        <f t="shared" si="107"/>
        <v>0.78426569577970706</v>
      </c>
      <c r="Y326" s="96">
        <f t="shared" si="101"/>
        <v>0.93712443946659829</v>
      </c>
      <c r="Z326" s="96">
        <f t="shared" si="105"/>
        <v>379.38825351880826</v>
      </c>
      <c r="AA326" s="97">
        <f t="shared" si="108"/>
        <v>27.171746481192091</v>
      </c>
      <c r="AB326" s="97">
        <f t="shared" si="109"/>
        <v>267.17174648119254</v>
      </c>
      <c r="AC326" s="97">
        <f t="shared" si="110"/>
        <v>4568.370120818935</v>
      </c>
      <c r="AD326" s="96"/>
      <c r="AE326" s="105">
        <f t="shared" si="102"/>
        <v>19.388253518808256</v>
      </c>
    </row>
    <row r="327" spans="5:31" x14ac:dyDescent="0.35">
      <c r="E327" s="100">
        <f t="shared" si="93"/>
        <v>1.2256944444444797</v>
      </c>
      <c r="F327" s="5">
        <v>20</v>
      </c>
      <c r="G327" s="5">
        <f t="shared" si="106"/>
        <v>140</v>
      </c>
      <c r="H327" s="106">
        <f t="shared" si="106"/>
        <v>3.8194444444444443E-3</v>
      </c>
      <c r="I327" s="110">
        <f t="shared" si="103"/>
        <v>1.7687499999999998E-2</v>
      </c>
      <c r="J327" s="5">
        <v>1.05</v>
      </c>
      <c r="K327" s="5">
        <v>0</v>
      </c>
      <c r="L327" s="5">
        <v>0</v>
      </c>
      <c r="N327" s="5">
        <f t="shared" si="95"/>
        <v>140</v>
      </c>
      <c r="O327" s="97">
        <f t="shared" si="96"/>
        <v>181.81818181818184</v>
      </c>
      <c r="P327" s="5">
        <f t="shared" si="97"/>
        <v>1.0249999999999999</v>
      </c>
      <c r="R327" s="96">
        <f t="shared" si="98"/>
        <v>4.153550655532058</v>
      </c>
      <c r="S327" s="95">
        <f t="shared" si="99"/>
        <v>0.97688520063683848</v>
      </c>
      <c r="T327" s="96">
        <f t="shared" si="100"/>
        <v>60.099071555555561</v>
      </c>
      <c r="U327" s="97"/>
      <c r="V327" s="97">
        <f t="shared" si="104"/>
        <v>52.863371979498929</v>
      </c>
      <c r="W327" s="96">
        <f t="shared" si="94"/>
        <v>58.70989357463661</v>
      </c>
      <c r="X327" s="96">
        <f t="shared" si="107"/>
        <v>0.78357419309415022</v>
      </c>
      <c r="Y327" s="96">
        <f t="shared" si="101"/>
        <v>0.92928636025448708</v>
      </c>
      <c r="Z327" s="96">
        <f t="shared" si="105"/>
        <v>380.31753987906274</v>
      </c>
      <c r="AA327" s="97">
        <f t="shared" si="108"/>
        <v>26.242460120937604</v>
      </c>
      <c r="AB327" s="97">
        <f t="shared" si="109"/>
        <v>266.24246012093806</v>
      </c>
      <c r="AC327" s="97">
        <f t="shared" si="110"/>
        <v>4582.4021221513049</v>
      </c>
      <c r="AD327" s="96"/>
      <c r="AE327" s="105">
        <f t="shared" si="102"/>
        <v>20.317539879062736</v>
      </c>
    </row>
    <row r="328" spans="5:31" x14ac:dyDescent="0.35">
      <c r="E328" s="100">
        <f t="shared" si="93"/>
        <v>1.2263888888889243</v>
      </c>
      <c r="F328" s="5">
        <v>20</v>
      </c>
      <c r="G328" s="5">
        <f t="shared" si="106"/>
        <v>140</v>
      </c>
      <c r="H328" s="106">
        <f t="shared" si="106"/>
        <v>3.8194444444444443E-3</v>
      </c>
      <c r="I328" s="110">
        <f t="shared" si="103"/>
        <v>1.7687499999999998E-2</v>
      </c>
      <c r="J328" s="5">
        <v>1.05</v>
      </c>
      <c r="K328" s="5">
        <v>0</v>
      </c>
      <c r="L328" s="5">
        <v>0</v>
      </c>
      <c r="N328" s="5">
        <f t="shared" si="95"/>
        <v>140</v>
      </c>
      <c r="O328" s="97">
        <f t="shared" si="96"/>
        <v>181.81818181818184</v>
      </c>
      <c r="P328" s="5">
        <f t="shared" si="97"/>
        <v>1.0249999999999999</v>
      </c>
      <c r="R328" s="96">
        <f t="shared" si="98"/>
        <v>4.153550655532058</v>
      </c>
      <c r="S328" s="95">
        <f t="shared" si="99"/>
        <v>0.97673109677782644</v>
      </c>
      <c r="T328" s="96">
        <f t="shared" si="100"/>
        <v>60.099071555555561</v>
      </c>
      <c r="U328" s="97"/>
      <c r="V328" s="97">
        <f t="shared" si="104"/>
        <v>52.863371979498929</v>
      </c>
      <c r="W328" s="96">
        <f t="shared" si="94"/>
        <v>58.700632075786856</v>
      </c>
      <c r="X328" s="96">
        <f t="shared" si="107"/>
        <v>0.78288847411521389</v>
      </c>
      <c r="Y328" s="96">
        <f t="shared" si="101"/>
        <v>0.92151625423495387</v>
      </c>
      <c r="Z328" s="96">
        <f t="shared" si="105"/>
        <v>381.23905613329771</v>
      </c>
      <c r="AA328" s="97">
        <f t="shared" si="108"/>
        <v>25.320943866702649</v>
      </c>
      <c r="AB328" s="97">
        <f t="shared" si="109"/>
        <v>265.32094386670309</v>
      </c>
      <c r="AC328" s="97">
        <f t="shared" si="110"/>
        <v>4596.4319099323247</v>
      </c>
      <c r="AD328" s="96"/>
      <c r="AE328" s="105">
        <f t="shared" si="102"/>
        <v>21.239056133297709</v>
      </c>
    </row>
    <row r="329" spans="5:31" x14ac:dyDescent="0.35">
      <c r="E329" s="100">
        <f t="shared" si="93"/>
        <v>1.2270833333333688</v>
      </c>
      <c r="F329" s="5">
        <v>20</v>
      </c>
      <c r="G329" s="5">
        <f t="shared" si="106"/>
        <v>140</v>
      </c>
      <c r="H329" s="106">
        <f t="shared" si="106"/>
        <v>3.8194444444444443E-3</v>
      </c>
      <c r="I329" s="110">
        <f t="shared" si="103"/>
        <v>1.7687499999999998E-2</v>
      </c>
      <c r="J329" s="5">
        <v>1.05</v>
      </c>
      <c r="K329" s="5">
        <v>0</v>
      </c>
      <c r="L329" s="5">
        <v>0</v>
      </c>
      <c r="N329" s="5">
        <f t="shared" si="95"/>
        <v>140</v>
      </c>
      <c r="O329" s="97">
        <f t="shared" si="96"/>
        <v>181.81818181818184</v>
      </c>
      <c r="P329" s="5">
        <f t="shared" si="97"/>
        <v>1.0249999999999999</v>
      </c>
      <c r="R329" s="96">
        <f t="shared" si="98"/>
        <v>4.153550655532058</v>
      </c>
      <c r="S329" s="95">
        <f t="shared" si="99"/>
        <v>0.97657828143801972</v>
      </c>
      <c r="T329" s="96">
        <f t="shared" si="100"/>
        <v>60.099071555555561</v>
      </c>
      <c r="U329" s="97"/>
      <c r="V329" s="97">
        <f t="shared" si="104"/>
        <v>52.863371979498929</v>
      </c>
      <c r="W329" s="96">
        <f t="shared" si="94"/>
        <v>58.691448015745024</v>
      </c>
      <c r="X329" s="96">
        <f t="shared" si="107"/>
        <v>0.78220848868558357</v>
      </c>
      <c r="Y329" s="96">
        <f t="shared" si="101"/>
        <v>0.91381349245130561</v>
      </c>
      <c r="Z329" s="96">
        <f t="shared" si="105"/>
        <v>382.15286962574902</v>
      </c>
      <c r="AA329" s="97">
        <f t="shared" si="108"/>
        <v>24.407130374251345</v>
      </c>
      <c r="AB329" s="97">
        <f t="shared" si="109"/>
        <v>264.40713037425178</v>
      </c>
      <c r="AC329" s="97">
        <f t="shared" si="110"/>
        <v>4610.4595026703137</v>
      </c>
      <c r="AD329" s="96"/>
      <c r="AE329" s="105">
        <f t="shared" si="102"/>
        <v>22.15286962574902</v>
      </c>
    </row>
    <row r="330" spans="5:31" x14ac:dyDescent="0.35">
      <c r="E330" s="100">
        <f t="shared" si="93"/>
        <v>1.2277777777778134</v>
      </c>
      <c r="F330" s="5">
        <v>20</v>
      </c>
      <c r="G330" s="5">
        <f t="shared" si="106"/>
        <v>140</v>
      </c>
      <c r="H330" s="106">
        <f t="shared" si="106"/>
        <v>3.8194444444444443E-3</v>
      </c>
      <c r="I330" s="110">
        <f t="shared" si="103"/>
        <v>1.7687499999999998E-2</v>
      </c>
      <c r="J330" s="5">
        <v>1.05</v>
      </c>
      <c r="K330" s="5">
        <v>0</v>
      </c>
      <c r="L330" s="5">
        <v>0</v>
      </c>
      <c r="N330" s="5">
        <f t="shared" si="95"/>
        <v>140</v>
      </c>
      <c r="O330" s="97">
        <f t="shared" si="96"/>
        <v>181.81818181818184</v>
      </c>
      <c r="P330" s="5">
        <f t="shared" si="97"/>
        <v>1.0249999999999999</v>
      </c>
      <c r="R330" s="96">
        <f t="shared" si="98"/>
        <v>4.153550655532058</v>
      </c>
      <c r="S330" s="95">
        <f t="shared" si="99"/>
        <v>0.97642674344970193</v>
      </c>
      <c r="T330" s="96">
        <f t="shared" si="100"/>
        <v>60.099071555555561</v>
      </c>
      <c r="U330" s="97"/>
      <c r="V330" s="97">
        <f t="shared" si="104"/>
        <v>52.863371979498929</v>
      </c>
      <c r="W330" s="96">
        <f t="shared" si="94"/>
        <v>58.682340723341731</v>
      </c>
      <c r="X330" s="96">
        <f t="shared" si="107"/>
        <v>0.78153418711205114</v>
      </c>
      <c r="Y330" s="96">
        <f t="shared" si="101"/>
        <v>0.90617745240721304</v>
      </c>
      <c r="Z330" s="96">
        <f t="shared" si="105"/>
        <v>383.05904707815625</v>
      </c>
      <c r="AA330" s="97">
        <f t="shared" si="108"/>
        <v>23.500952921844132</v>
      </c>
      <c r="AB330" s="97">
        <f t="shared" si="109"/>
        <v>263.50095292184454</v>
      </c>
      <c r="AC330" s="97">
        <f t="shared" si="110"/>
        <v>4624.4849187131776</v>
      </c>
      <c r="AD330" s="96"/>
      <c r="AE330" s="105">
        <f t="shared" si="102"/>
        <v>23.059047078156254</v>
      </c>
    </row>
    <row r="331" spans="5:31" x14ac:dyDescent="0.35">
      <c r="E331" s="100">
        <f t="shared" si="93"/>
        <v>1.2284722222222579</v>
      </c>
      <c r="F331" s="5">
        <v>20</v>
      </c>
      <c r="G331" s="5">
        <f t="shared" si="106"/>
        <v>140</v>
      </c>
      <c r="H331" s="106">
        <f t="shared" si="106"/>
        <v>3.8194444444444443E-3</v>
      </c>
      <c r="I331" s="110">
        <f t="shared" si="103"/>
        <v>1.7687499999999998E-2</v>
      </c>
      <c r="J331" s="5">
        <v>1.05</v>
      </c>
      <c r="K331" s="5">
        <v>0</v>
      </c>
      <c r="L331" s="5">
        <v>0</v>
      </c>
      <c r="N331" s="5">
        <f t="shared" si="95"/>
        <v>140</v>
      </c>
      <c r="O331" s="97">
        <f t="shared" si="96"/>
        <v>181.81818181818184</v>
      </c>
      <c r="P331" s="5">
        <f t="shared" si="97"/>
        <v>1.0249999999999999</v>
      </c>
      <c r="R331" s="96">
        <f t="shared" si="98"/>
        <v>4.153550655532058</v>
      </c>
      <c r="S331" s="95">
        <f t="shared" si="99"/>
        <v>0.97627647174838539</v>
      </c>
      <c r="T331" s="96">
        <f t="shared" si="100"/>
        <v>60.099071555555561</v>
      </c>
      <c r="U331" s="97"/>
      <c r="V331" s="97">
        <f t="shared" si="104"/>
        <v>52.863371979498929</v>
      </c>
      <c r="W331" s="96">
        <f t="shared" si="94"/>
        <v>58.67330953361153</v>
      </c>
      <c r="X331" s="96">
        <f t="shared" si="107"/>
        <v>0.78086552016074706</v>
      </c>
      <c r="Y331" s="96">
        <f t="shared" si="101"/>
        <v>0.89860751799015504</v>
      </c>
      <c r="Z331" s="96">
        <f t="shared" si="105"/>
        <v>383.95765459614643</v>
      </c>
      <c r="AA331" s="97">
        <f t="shared" si="108"/>
        <v>22.602345403853978</v>
      </c>
      <c r="AB331" s="97">
        <f t="shared" si="109"/>
        <v>262.60234540385437</v>
      </c>
      <c r="AC331" s="97">
        <f t="shared" si="110"/>
        <v>4638.5081762498921</v>
      </c>
      <c r="AD331" s="96"/>
      <c r="AE331" s="105">
        <f t="shared" si="102"/>
        <v>23.957654596146426</v>
      </c>
    </row>
    <row r="332" spans="5:31" x14ac:dyDescent="0.35">
      <c r="E332" s="100">
        <f t="shared" si="93"/>
        <v>1.2291666666667025</v>
      </c>
      <c r="F332" s="5">
        <v>20</v>
      </c>
      <c r="G332" s="5">
        <f t="shared" si="106"/>
        <v>140</v>
      </c>
      <c r="H332" s="106">
        <f t="shared" si="106"/>
        <v>3.8194444444444443E-3</v>
      </c>
      <c r="I332" s="110">
        <f t="shared" si="103"/>
        <v>1.7687499999999998E-2</v>
      </c>
      <c r="J332" s="5">
        <v>1.05</v>
      </c>
      <c r="K332" s="5">
        <v>0</v>
      </c>
      <c r="L332" s="5">
        <v>0</v>
      </c>
      <c r="N332" s="5">
        <f t="shared" si="95"/>
        <v>140</v>
      </c>
      <c r="O332" s="97">
        <f t="shared" si="96"/>
        <v>181.81818181818184</v>
      </c>
      <c r="P332" s="5">
        <f t="shared" si="97"/>
        <v>1.0249999999999999</v>
      </c>
      <c r="R332" s="96">
        <f t="shared" si="98"/>
        <v>4.153550655532058</v>
      </c>
      <c r="S332" s="95">
        <f t="shared" si="99"/>
        <v>0.97612745537175238</v>
      </c>
      <c r="T332" s="96">
        <f t="shared" si="100"/>
        <v>60.099071555555561</v>
      </c>
      <c r="U332" s="97"/>
      <c r="V332" s="97">
        <f t="shared" si="104"/>
        <v>52.863371979498929</v>
      </c>
      <c r="W332" s="96">
        <f t="shared" si="94"/>
        <v>58.664353787729311</v>
      </c>
      <c r="X332" s="96">
        <f t="shared" si="107"/>
        <v>0.78020243905243081</v>
      </c>
      <c r="Y332" s="96">
        <f t="shared" si="101"/>
        <v>0.89110307939594713</v>
      </c>
      <c r="Z332" s="96">
        <f t="shared" si="105"/>
        <v>384.8487576755424</v>
      </c>
      <c r="AA332" s="97">
        <f t="shared" si="108"/>
        <v>21.711242324458031</v>
      </c>
      <c r="AB332" s="97">
        <f t="shared" si="109"/>
        <v>261.7112423244584</v>
      </c>
      <c r="AC332" s="97">
        <f t="shared" si="110"/>
        <v>4652.529293311969</v>
      </c>
      <c r="AD332" s="96"/>
      <c r="AE332" s="105">
        <f t="shared" si="102"/>
        <v>24.848757675542402</v>
      </c>
    </row>
    <row r="333" spans="5:31" x14ac:dyDescent="0.35">
      <c r="E333" s="100">
        <f t="shared" si="93"/>
        <v>1.229861111111147</v>
      </c>
      <c r="F333" s="5">
        <v>20</v>
      </c>
      <c r="G333" s="5">
        <f t="shared" si="106"/>
        <v>140</v>
      </c>
      <c r="H333" s="106">
        <f t="shared" si="106"/>
        <v>3.8194444444444443E-3</v>
      </c>
      <c r="I333" s="110">
        <f t="shared" si="103"/>
        <v>1.7687499999999998E-2</v>
      </c>
      <c r="J333" s="5">
        <v>1.05</v>
      </c>
      <c r="K333" s="5">
        <v>0</v>
      </c>
      <c r="L333" s="5">
        <v>0</v>
      </c>
      <c r="N333" s="5">
        <f t="shared" si="95"/>
        <v>140</v>
      </c>
      <c r="O333" s="97">
        <f t="shared" si="96"/>
        <v>181.81818181818184</v>
      </c>
      <c r="P333" s="5">
        <f t="shared" si="97"/>
        <v>1.0249999999999999</v>
      </c>
      <c r="R333" s="96">
        <f t="shared" si="98"/>
        <v>4.153550655532058</v>
      </c>
      <c r="S333" s="95">
        <f t="shared" si="99"/>
        <v>0.9759796834586093</v>
      </c>
      <c r="T333" s="96">
        <f t="shared" si="100"/>
        <v>60.099071555555561</v>
      </c>
      <c r="U333" s="97"/>
      <c r="V333" s="97">
        <f t="shared" si="104"/>
        <v>52.863371979498929</v>
      </c>
      <c r="W333" s="96">
        <f t="shared" si="94"/>
        <v>58.655472832947424</v>
      </c>
      <c r="X333" s="96">
        <f t="shared" si="107"/>
        <v>0.77954489545783523</v>
      </c>
      <c r="Y333" s="96">
        <f t="shared" si="101"/>
        <v>0.88366353305429923</v>
      </c>
      <c r="Z333" s="96">
        <f t="shared" si="105"/>
        <v>385.73242120859669</v>
      </c>
      <c r="AA333" s="97">
        <f t="shared" si="108"/>
        <v>20.827578791403731</v>
      </c>
      <c r="AB333" s="97">
        <f t="shared" si="109"/>
        <v>260.82757879140411</v>
      </c>
      <c r="AC333" s="97">
        <f t="shared" si="110"/>
        <v>4666.5482877749109</v>
      </c>
      <c r="AD333" s="96"/>
      <c r="AE333" s="105">
        <f t="shared" si="102"/>
        <v>25.732421208596691</v>
      </c>
    </row>
    <row r="334" spans="5:31" x14ac:dyDescent="0.35">
      <c r="E334" s="100">
        <f t="shared" si="93"/>
        <v>1.2305555555555916</v>
      </c>
      <c r="F334" s="5">
        <v>20</v>
      </c>
      <c r="G334" s="5">
        <f t="shared" si="106"/>
        <v>140</v>
      </c>
      <c r="H334" s="106">
        <f t="shared" si="106"/>
        <v>3.8194444444444443E-3</v>
      </c>
      <c r="I334" s="110">
        <f t="shared" si="103"/>
        <v>1.7687499999999998E-2</v>
      </c>
      <c r="J334" s="5">
        <v>1.05</v>
      </c>
      <c r="K334" s="5">
        <v>0</v>
      </c>
      <c r="L334" s="5">
        <v>0</v>
      </c>
      <c r="N334" s="5">
        <f t="shared" si="95"/>
        <v>140</v>
      </c>
      <c r="O334" s="97">
        <f t="shared" si="96"/>
        <v>181.81818181818184</v>
      </c>
      <c r="P334" s="5">
        <f t="shared" si="97"/>
        <v>1.0249999999999999</v>
      </c>
      <c r="R334" s="96">
        <f t="shared" si="98"/>
        <v>4.153550655532058</v>
      </c>
      <c r="S334" s="95">
        <f t="shared" si="99"/>
        <v>0.97583314524785314</v>
      </c>
      <c r="T334" s="96">
        <f t="shared" si="100"/>
        <v>60.099071555555561</v>
      </c>
      <c r="U334" s="97"/>
      <c r="V334" s="97">
        <f t="shared" si="104"/>
        <v>52.863371979498929</v>
      </c>
      <c r="W334" s="96">
        <f t="shared" si="94"/>
        <v>58.646666022533566</v>
      </c>
      <c r="X334" s="96">
        <f t="shared" si="107"/>
        <v>0.7788928414930667</v>
      </c>
      <c r="Y334" s="96">
        <f t="shared" si="101"/>
        <v>0.87628828155540972</v>
      </c>
      <c r="Z334" s="96">
        <f t="shared" si="105"/>
        <v>386.60870949015208</v>
      </c>
      <c r="AA334" s="97">
        <f t="shared" si="108"/>
        <v>19.95129050984832</v>
      </c>
      <c r="AB334" s="97">
        <f t="shared" si="109"/>
        <v>259.95129050984872</v>
      </c>
      <c r="AC334" s="97">
        <f t="shared" si="110"/>
        <v>4680.5651773596464</v>
      </c>
      <c r="AD334" s="96"/>
      <c r="AE334" s="105">
        <f t="shared" si="102"/>
        <v>26.60870949015208</v>
      </c>
    </row>
    <row r="335" spans="5:31" x14ac:dyDescent="0.35">
      <c r="E335" s="100">
        <f t="shared" si="93"/>
        <v>1.2312500000000361</v>
      </c>
      <c r="F335" s="5">
        <v>20</v>
      </c>
      <c r="G335" s="5">
        <f t="shared" si="106"/>
        <v>140</v>
      </c>
      <c r="H335" s="106">
        <f t="shared" si="106"/>
        <v>3.8194444444444443E-3</v>
      </c>
      <c r="I335" s="110">
        <f t="shared" si="103"/>
        <v>1.7687499999999998E-2</v>
      </c>
      <c r="J335" s="5">
        <v>1.05</v>
      </c>
      <c r="K335" s="5">
        <v>0</v>
      </c>
      <c r="L335" s="5">
        <v>0</v>
      </c>
      <c r="N335" s="5">
        <f t="shared" si="95"/>
        <v>140</v>
      </c>
      <c r="O335" s="97">
        <f t="shared" si="96"/>
        <v>181.81818181818184</v>
      </c>
      <c r="P335" s="5">
        <f t="shared" si="97"/>
        <v>1.0249999999999999</v>
      </c>
      <c r="R335" s="96">
        <f t="shared" si="98"/>
        <v>4.153550655532058</v>
      </c>
      <c r="S335" s="95">
        <f t="shared" si="99"/>
        <v>0.97568783007744886</v>
      </c>
      <c r="T335" s="96">
        <f t="shared" si="100"/>
        <v>60.099071555555561</v>
      </c>
      <c r="U335" s="97"/>
      <c r="V335" s="97">
        <f t="shared" si="104"/>
        <v>52.863371979498929</v>
      </c>
      <c r="W335" s="96">
        <f t="shared" si="94"/>
        <v>58.637932715709333</v>
      </c>
      <c r="X335" s="96">
        <f t="shared" si="107"/>
        <v>0.77824622971505941</v>
      </c>
      <c r="Y335" s="96">
        <f t="shared" si="101"/>
        <v>0.86897673357757432</v>
      </c>
      <c r="Z335" s="96">
        <f t="shared" si="105"/>
        <v>387.47768622372968</v>
      </c>
      <c r="AA335" s="97">
        <f t="shared" si="108"/>
        <v>19.082313776270745</v>
      </c>
      <c r="AB335" s="97">
        <f t="shared" si="109"/>
        <v>259.08231377627112</v>
      </c>
      <c r="AC335" s="97">
        <f t="shared" si="110"/>
        <v>4694.5799796339552</v>
      </c>
      <c r="AD335" s="96"/>
      <c r="AE335" s="105">
        <f t="shared" si="102"/>
        <v>27.477686223729677</v>
      </c>
    </row>
    <row r="336" spans="5:31" x14ac:dyDescent="0.35">
      <c r="E336" s="100">
        <f t="shared" si="93"/>
        <v>1.2319444444444807</v>
      </c>
      <c r="F336" s="5">
        <v>20</v>
      </c>
      <c r="G336" s="5">
        <f t="shared" si="106"/>
        <v>140</v>
      </c>
      <c r="H336" s="106">
        <f t="shared" si="106"/>
        <v>3.8194444444444443E-3</v>
      </c>
      <c r="I336" s="110">
        <f t="shared" si="103"/>
        <v>1.7687499999999998E-2</v>
      </c>
      <c r="J336" s="5">
        <v>1.05</v>
      </c>
      <c r="K336" s="5">
        <v>0</v>
      </c>
      <c r="L336" s="5">
        <v>0</v>
      </c>
      <c r="N336" s="5">
        <f t="shared" si="95"/>
        <v>140</v>
      </c>
      <c r="O336" s="97">
        <f t="shared" si="96"/>
        <v>181.81818181818184</v>
      </c>
      <c r="P336" s="5">
        <f t="shared" si="97"/>
        <v>1.0249999999999999</v>
      </c>
      <c r="R336" s="96">
        <f t="shared" si="98"/>
        <v>4.153550655532058</v>
      </c>
      <c r="S336" s="95">
        <f t="shared" si="99"/>
        <v>0.97554372738342099</v>
      </c>
      <c r="T336" s="96">
        <f t="shared" si="100"/>
        <v>60.099071555555561</v>
      </c>
      <c r="U336" s="97"/>
      <c r="V336" s="97">
        <f t="shared" si="104"/>
        <v>52.863371979498929</v>
      </c>
      <c r="W336" s="96">
        <f t="shared" si="94"/>
        <v>58.629272277589607</v>
      </c>
      <c r="X336" s="96">
        <f t="shared" si="107"/>
        <v>0.77760501311708308</v>
      </c>
      <c r="Y336" s="96">
        <f t="shared" si="101"/>
        <v>0.86172830381579157</v>
      </c>
      <c r="Z336" s="96">
        <f t="shared" si="105"/>
        <v>388.33941452754544</v>
      </c>
      <c r="AA336" s="97">
        <f t="shared" si="108"/>
        <v>18.220585472454953</v>
      </c>
      <c r="AB336" s="97">
        <f t="shared" si="109"/>
        <v>258.22058547245535</v>
      </c>
      <c r="AC336" s="97">
        <f t="shared" si="110"/>
        <v>4708.5927120138758</v>
      </c>
      <c r="AD336" s="96"/>
      <c r="AE336" s="105">
        <f t="shared" si="102"/>
        <v>28.339414527545443</v>
      </c>
    </row>
    <row r="337" spans="5:31" x14ac:dyDescent="0.35">
      <c r="E337" s="100">
        <f t="shared" si="93"/>
        <v>1.2326388888889253</v>
      </c>
      <c r="F337" s="5">
        <v>20</v>
      </c>
      <c r="G337" s="5">
        <f t="shared" si="106"/>
        <v>140</v>
      </c>
      <c r="H337" s="106">
        <f t="shared" si="106"/>
        <v>3.8194444444444443E-3</v>
      </c>
      <c r="I337" s="110">
        <f t="shared" si="103"/>
        <v>1.7687499999999998E-2</v>
      </c>
      <c r="J337" s="5">
        <v>1.05</v>
      </c>
      <c r="K337" s="5">
        <v>0</v>
      </c>
      <c r="L337" s="5">
        <v>0</v>
      </c>
      <c r="N337" s="5">
        <f t="shared" si="95"/>
        <v>140</v>
      </c>
      <c r="O337" s="97">
        <f t="shared" si="96"/>
        <v>181.81818181818184</v>
      </c>
      <c r="P337" s="5">
        <f t="shared" si="97"/>
        <v>1.0249999999999999</v>
      </c>
      <c r="R337" s="96">
        <f t="shared" si="98"/>
        <v>4.153550655532058</v>
      </c>
      <c r="S337" s="95">
        <f t="shared" si="99"/>
        <v>0.97540082669885531</v>
      </c>
      <c r="T337" s="96">
        <f t="shared" si="100"/>
        <v>60.099071555555561</v>
      </c>
      <c r="U337" s="97"/>
      <c r="V337" s="97">
        <f t="shared" si="104"/>
        <v>52.863371979498929</v>
      </c>
      <c r="W337" s="96">
        <f t="shared" si="94"/>
        <v>58.620684079122555</v>
      </c>
      <c r="X337" s="96">
        <f t="shared" si="107"/>
        <v>0.77696914512430282</v>
      </c>
      <c r="Y337" s="96">
        <f t="shared" si="101"/>
        <v>0.85454241291134347</v>
      </c>
      <c r="Z337" s="96">
        <f t="shared" si="105"/>
        <v>389.19395694045681</v>
      </c>
      <c r="AA337" s="97">
        <f t="shared" si="108"/>
        <v>17.36604305954361</v>
      </c>
      <c r="AB337" s="97">
        <f t="shared" si="109"/>
        <v>257.36604305954398</v>
      </c>
      <c r="AC337" s="97">
        <f t="shared" si="110"/>
        <v>4722.6033917651002</v>
      </c>
      <c r="AD337" s="96"/>
      <c r="AE337" s="105">
        <f t="shared" si="102"/>
        <v>29.193956940456815</v>
      </c>
    </row>
    <row r="338" spans="5:31" x14ac:dyDescent="0.35">
      <c r="E338" s="100">
        <f t="shared" si="93"/>
        <v>1.2333333333333698</v>
      </c>
      <c r="F338" s="5">
        <v>20</v>
      </c>
      <c r="G338" s="5">
        <f t="shared" si="106"/>
        <v>140</v>
      </c>
      <c r="H338" s="106">
        <f t="shared" si="106"/>
        <v>3.8194444444444443E-3</v>
      </c>
      <c r="I338" s="110">
        <f t="shared" si="103"/>
        <v>1.7687499999999998E-2</v>
      </c>
      <c r="J338" s="5">
        <v>1.05</v>
      </c>
      <c r="K338" s="5">
        <v>0</v>
      </c>
      <c r="L338" s="5">
        <v>0</v>
      </c>
      <c r="N338" s="5">
        <f t="shared" si="95"/>
        <v>140</v>
      </c>
      <c r="O338" s="97">
        <f t="shared" si="96"/>
        <v>181.81818181818184</v>
      </c>
      <c r="P338" s="5">
        <f t="shared" si="97"/>
        <v>1.0249999999999999</v>
      </c>
      <c r="R338" s="96">
        <f t="shared" si="98"/>
        <v>4.153550655532058</v>
      </c>
      <c r="S338" s="95">
        <f t="shared" si="99"/>
        <v>0.97525911765291262</v>
      </c>
      <c r="T338" s="96">
        <f t="shared" si="100"/>
        <v>60.099071555555561</v>
      </c>
      <c r="U338" s="97"/>
      <c r="V338" s="97">
        <f t="shared" si="104"/>
        <v>52.863371979498929</v>
      </c>
      <c r="W338" s="96">
        <f t="shared" si="94"/>
        <v>58.612167497030377</v>
      </c>
      <c r="X338" s="96">
        <f t="shared" si="107"/>
        <v>0.7763385795893919</v>
      </c>
      <c r="Y338" s="96">
        <f t="shared" si="101"/>
        <v>0.84741848738235326</v>
      </c>
      <c r="Z338" s="96">
        <f t="shared" si="105"/>
        <v>390.04137542783917</v>
      </c>
      <c r="AA338" s="97">
        <f t="shared" si="108"/>
        <v>16.518624572161258</v>
      </c>
      <c r="AB338" s="97">
        <f t="shared" si="109"/>
        <v>256.51862457216163</v>
      </c>
      <c r="AC338" s="97">
        <f t="shared" si="110"/>
        <v>4736.6120360043524</v>
      </c>
      <c r="AD338" s="96"/>
      <c r="AE338" s="105">
        <f t="shared" si="102"/>
        <v>4.1375427839170698E-2</v>
      </c>
    </row>
    <row r="339" spans="5:31" x14ac:dyDescent="0.35">
      <c r="E339" s="100">
        <f t="shared" si="93"/>
        <v>1.2340277777778144</v>
      </c>
      <c r="F339" s="5">
        <v>20</v>
      </c>
      <c r="G339" s="5">
        <f t="shared" si="106"/>
        <v>140</v>
      </c>
      <c r="H339" s="106">
        <f t="shared" si="106"/>
        <v>3.8194444444444443E-3</v>
      </c>
      <c r="I339" s="110">
        <f t="shared" si="103"/>
        <v>1.7687499999999998E-2</v>
      </c>
      <c r="J339" s="5">
        <v>1.05</v>
      </c>
      <c r="K339" s="5">
        <v>0</v>
      </c>
      <c r="L339" s="5">
        <v>0</v>
      </c>
      <c r="N339" s="5">
        <f t="shared" si="95"/>
        <v>140</v>
      </c>
      <c r="O339" s="97">
        <f t="shared" si="96"/>
        <v>181.81818181818184</v>
      </c>
      <c r="P339" s="5">
        <f t="shared" si="97"/>
        <v>1.0249999999999999</v>
      </c>
      <c r="R339" s="96">
        <f t="shared" si="98"/>
        <v>4.153550655532058</v>
      </c>
      <c r="S339" s="95">
        <f t="shared" si="99"/>
        <v>0.97511858996985468</v>
      </c>
      <c r="T339" s="96">
        <f t="shared" si="100"/>
        <v>60.099071555555561</v>
      </c>
      <c r="U339" s="97"/>
      <c r="V339" s="97">
        <f t="shared" si="104"/>
        <v>52.863371979498929</v>
      </c>
      <c r="W339" s="96">
        <f t="shared" si="94"/>
        <v>58.603721913750739</v>
      </c>
      <c r="X339" s="96">
        <f t="shared" si="107"/>
        <v>0.77571327078819474</v>
      </c>
      <c r="Y339" s="96">
        <f t="shared" si="101"/>
        <v>0.8403559595552792</v>
      </c>
      <c r="Z339" s="96">
        <f t="shared" si="105"/>
        <v>390.88173138739444</v>
      </c>
      <c r="AA339" s="97">
        <f t="shared" si="108"/>
        <v>15.678268612605979</v>
      </c>
      <c r="AB339" s="97">
        <f t="shared" si="109"/>
        <v>255.67826861260636</v>
      </c>
      <c r="AC339" s="97">
        <f t="shared" si="110"/>
        <v>4750.6186617007552</v>
      </c>
      <c r="AD339" s="96"/>
      <c r="AE339" s="105">
        <f t="shared" si="102"/>
        <v>0.88173138739443857</v>
      </c>
    </row>
    <row r="340" spans="5:31" x14ac:dyDescent="0.35">
      <c r="E340" s="100">
        <f t="shared" si="93"/>
        <v>1.2347222222222589</v>
      </c>
      <c r="F340" s="5">
        <v>20</v>
      </c>
      <c r="G340" s="5">
        <f t="shared" si="106"/>
        <v>140</v>
      </c>
      <c r="H340" s="106">
        <f t="shared" si="106"/>
        <v>3.8194444444444443E-3</v>
      </c>
      <c r="I340" s="110">
        <f t="shared" si="103"/>
        <v>1.7687499999999998E-2</v>
      </c>
      <c r="J340" s="5">
        <v>1.05</v>
      </c>
      <c r="K340" s="5">
        <v>0</v>
      </c>
      <c r="L340" s="5">
        <v>0</v>
      </c>
      <c r="N340" s="5">
        <f t="shared" si="95"/>
        <v>140</v>
      </c>
      <c r="O340" s="97">
        <f t="shared" si="96"/>
        <v>181.81818181818184</v>
      </c>
      <c r="P340" s="5">
        <f t="shared" si="97"/>
        <v>1.0249999999999999</v>
      </c>
      <c r="R340" s="96">
        <f t="shared" si="98"/>
        <v>4.153550655532058</v>
      </c>
      <c r="S340" s="95">
        <f t="shared" si="99"/>
        <v>0.9749792334680808</v>
      </c>
      <c r="T340" s="96">
        <f t="shared" si="100"/>
        <v>60.099071555555561</v>
      </c>
      <c r="U340" s="97"/>
      <c r="V340" s="97">
        <f t="shared" si="104"/>
        <v>52.863371979498929</v>
      </c>
      <c r="W340" s="96">
        <f t="shared" si="94"/>
        <v>58.595346717378902</v>
      </c>
      <c r="X340" s="96">
        <f t="shared" si="107"/>
        <v>0.77509317341544137</v>
      </c>
      <c r="Y340" s="96">
        <f t="shared" si="101"/>
        <v>0.83335426749735786</v>
      </c>
      <c r="Z340" s="96">
        <f t="shared" si="105"/>
        <v>391.71508565489182</v>
      </c>
      <c r="AA340" s="97">
        <f t="shared" si="108"/>
        <v>14.844914345108622</v>
      </c>
      <c r="AB340" s="97">
        <f t="shared" si="109"/>
        <v>254.844914345109</v>
      </c>
      <c r="AC340" s="97">
        <f t="shared" si="110"/>
        <v>4764.623285677184</v>
      </c>
      <c r="AD340" s="96"/>
      <c r="AE340" s="105">
        <f t="shared" si="102"/>
        <v>1.7150856548918227</v>
      </c>
    </row>
    <row r="341" spans="5:31" x14ac:dyDescent="0.35">
      <c r="E341" s="100">
        <f t="shared" si="93"/>
        <v>1.2354166666667035</v>
      </c>
      <c r="F341" s="5">
        <v>20</v>
      </c>
      <c r="G341" s="5">
        <f t="shared" si="106"/>
        <v>140</v>
      </c>
      <c r="H341" s="106">
        <f t="shared" si="106"/>
        <v>3.8194444444444443E-3</v>
      </c>
      <c r="I341" s="110">
        <f t="shared" si="103"/>
        <v>1.7687499999999998E-2</v>
      </c>
      <c r="J341" s="5">
        <v>1.05</v>
      </c>
      <c r="K341" s="5">
        <v>0</v>
      </c>
      <c r="L341" s="5">
        <v>0</v>
      </c>
      <c r="N341" s="5">
        <f t="shared" si="95"/>
        <v>140</v>
      </c>
      <c r="O341" s="97">
        <f t="shared" si="96"/>
        <v>181.81818181818184</v>
      </c>
      <c r="P341" s="5">
        <f t="shared" si="97"/>
        <v>1.0249999999999999</v>
      </c>
      <c r="R341" s="96">
        <f t="shared" si="98"/>
        <v>4.153550655532058</v>
      </c>
      <c r="S341" s="95">
        <f t="shared" si="99"/>
        <v>0.97484103805917555</v>
      </c>
      <c r="T341" s="96">
        <f t="shared" si="100"/>
        <v>60.099071555555561</v>
      </c>
      <c r="U341" s="97"/>
      <c r="V341" s="97">
        <f t="shared" si="104"/>
        <v>52.863371979498929</v>
      </c>
      <c r="W341" s="96">
        <f t="shared" si="94"/>
        <v>58.587041301610455</v>
      </c>
      <c r="X341" s="96">
        <f t="shared" si="107"/>
        <v>0.77447824258051123</v>
      </c>
      <c r="Y341" s="96">
        <f t="shared" si="101"/>
        <v>0.82641285494995775</v>
      </c>
      <c r="Z341" s="96">
        <f t="shared" si="105"/>
        <v>392.5414985098418</v>
      </c>
      <c r="AA341" s="97">
        <f t="shared" si="108"/>
        <v>14.018501490158664</v>
      </c>
      <c r="AB341" s="97">
        <f t="shared" si="109"/>
        <v>254.01850149015905</v>
      </c>
      <c r="AC341" s="97">
        <f t="shared" si="110"/>
        <v>4778.6259246116033</v>
      </c>
      <c r="AD341" s="96"/>
      <c r="AE341" s="105">
        <f t="shared" si="102"/>
        <v>2.5414985098418015</v>
      </c>
    </row>
    <row r="342" spans="5:31" x14ac:dyDescent="0.35">
      <c r="E342" s="100">
        <f t="shared" si="93"/>
        <v>1.236111111111148</v>
      </c>
      <c r="F342" s="5">
        <v>20</v>
      </c>
      <c r="G342" s="5">
        <f t="shared" si="106"/>
        <v>140</v>
      </c>
      <c r="H342" s="106">
        <f t="shared" si="106"/>
        <v>3.8194444444444443E-3</v>
      </c>
      <c r="I342" s="110">
        <f t="shared" si="103"/>
        <v>1.7687499999999998E-2</v>
      </c>
      <c r="J342" s="5">
        <v>1.05</v>
      </c>
      <c r="K342" s="5">
        <v>0</v>
      </c>
      <c r="L342" s="5">
        <v>0</v>
      </c>
      <c r="N342" s="5">
        <f t="shared" si="95"/>
        <v>140</v>
      </c>
      <c r="O342" s="97">
        <f t="shared" si="96"/>
        <v>181.81818181818184</v>
      </c>
      <c r="P342" s="5">
        <f t="shared" si="97"/>
        <v>1.0249999999999999</v>
      </c>
      <c r="R342" s="96">
        <f t="shared" si="98"/>
        <v>4.153550655532058</v>
      </c>
      <c r="S342" s="95">
        <f t="shared" si="99"/>
        <v>0.97470399374696781</v>
      </c>
      <c r="T342" s="96">
        <f t="shared" si="100"/>
        <v>60.099071555555561</v>
      </c>
      <c r="U342" s="97"/>
      <c r="V342" s="97">
        <f t="shared" si="104"/>
        <v>52.863371979498929</v>
      </c>
      <c r="W342" s="96">
        <f t="shared" si="94"/>
        <v>58.578805065684797</v>
      </c>
      <c r="X342" s="96">
        <f t="shared" si="107"/>
        <v>0.77386843380324599</v>
      </c>
      <c r="Y342" s="96">
        <f t="shared" si="101"/>
        <v>0.81953117126283925</v>
      </c>
      <c r="Z342" s="96">
        <f t="shared" si="105"/>
        <v>393.36102968110464</v>
      </c>
      <c r="AA342" s="97">
        <f t="shared" si="108"/>
        <v>13.198970318895825</v>
      </c>
      <c r="AB342" s="97">
        <f t="shared" si="109"/>
        <v>253.19897031889622</v>
      </c>
      <c r="AC342" s="97">
        <f t="shared" si="110"/>
        <v>4792.6265950383922</v>
      </c>
      <c r="AD342" s="96"/>
      <c r="AE342" s="105">
        <f t="shared" si="102"/>
        <v>3.3610296811046396</v>
      </c>
    </row>
    <row r="343" spans="5:31" x14ac:dyDescent="0.35">
      <c r="E343" s="100">
        <f t="shared" si="93"/>
        <v>1.2368055555555926</v>
      </c>
      <c r="F343" s="5">
        <v>20</v>
      </c>
      <c r="G343" s="5">
        <f t="shared" si="106"/>
        <v>140</v>
      </c>
      <c r="H343" s="106">
        <f t="shared" si="106"/>
        <v>3.8194444444444443E-3</v>
      </c>
      <c r="I343" s="110">
        <f t="shared" si="103"/>
        <v>1.7687499999999998E-2</v>
      </c>
      <c r="J343" s="5">
        <v>1.05</v>
      </c>
      <c r="K343" s="5">
        <v>0</v>
      </c>
      <c r="L343" s="5">
        <v>0</v>
      </c>
      <c r="N343" s="5">
        <f t="shared" si="95"/>
        <v>140</v>
      </c>
      <c r="O343" s="97">
        <f t="shared" si="96"/>
        <v>181.81818181818184</v>
      </c>
      <c r="P343" s="5">
        <f t="shared" si="97"/>
        <v>1.0249999999999999</v>
      </c>
      <c r="R343" s="96">
        <f t="shared" si="98"/>
        <v>4.153550655532058</v>
      </c>
      <c r="S343" s="95">
        <f t="shared" si="99"/>
        <v>0.97456809062660166</v>
      </c>
      <c r="T343" s="96">
        <f t="shared" si="100"/>
        <v>60.099071555555561</v>
      </c>
      <c r="U343" s="97"/>
      <c r="V343" s="97">
        <f t="shared" si="104"/>
        <v>52.863371979498929</v>
      </c>
      <c r="W343" s="96">
        <f t="shared" si="94"/>
        <v>58.57063741432929</v>
      </c>
      <c r="X343" s="96">
        <f t="shared" si="107"/>
        <v>0.77326370300981118</v>
      </c>
      <c r="Y343" s="96">
        <f t="shared" si="101"/>
        <v>0.81270867132931035</v>
      </c>
      <c r="Z343" s="96">
        <f t="shared" si="105"/>
        <v>394.17373835243393</v>
      </c>
      <c r="AA343" s="97">
        <f t="shared" si="108"/>
        <v>12.386261647566513</v>
      </c>
      <c r="AB343" s="97">
        <f t="shared" si="109"/>
        <v>252.3862616475669</v>
      </c>
      <c r="AC343" s="97">
        <f t="shared" si="110"/>
        <v>4806.6253133496566</v>
      </c>
      <c r="AD343" s="96"/>
      <c r="AE343" s="105">
        <f t="shared" si="102"/>
        <v>4.1737383524339293</v>
      </c>
    </row>
    <row r="344" spans="5:31" x14ac:dyDescent="0.35">
      <c r="E344" s="100">
        <f t="shared" si="93"/>
        <v>1.2375000000000371</v>
      </c>
      <c r="F344" s="5">
        <v>20</v>
      </c>
      <c r="G344" s="5">
        <f t="shared" si="106"/>
        <v>140</v>
      </c>
      <c r="H344" s="106">
        <f t="shared" si="106"/>
        <v>3.8194444444444443E-3</v>
      </c>
      <c r="I344" s="110">
        <f t="shared" si="103"/>
        <v>1.7687499999999998E-2</v>
      </c>
      <c r="J344" s="5">
        <v>1.05</v>
      </c>
      <c r="K344" s="5">
        <v>0</v>
      </c>
      <c r="L344" s="5">
        <v>0</v>
      </c>
      <c r="N344" s="5">
        <f t="shared" si="95"/>
        <v>140</v>
      </c>
      <c r="O344" s="97">
        <f t="shared" si="96"/>
        <v>181.81818181818184</v>
      </c>
      <c r="P344" s="5">
        <f t="shared" si="97"/>
        <v>1.0249999999999999</v>
      </c>
      <c r="R344" s="96">
        <f t="shared" si="98"/>
        <v>4.153550655532058</v>
      </c>
      <c r="S344" s="95">
        <f t="shared" si="99"/>
        <v>0.97443331888361584</v>
      </c>
      <c r="T344" s="96">
        <f t="shared" si="100"/>
        <v>60.099071555555561</v>
      </c>
      <c r="U344" s="97"/>
      <c r="V344" s="97">
        <f t="shared" si="104"/>
        <v>52.863371979498929</v>
      </c>
      <c r="W344" s="96">
        <f t="shared" si="94"/>
        <v>58.562537757703922</v>
      </c>
      <c r="X344" s="96">
        <f t="shared" si="107"/>
        <v>0.7726640065286059</v>
      </c>
      <c r="Y344" s="96">
        <f t="shared" si="101"/>
        <v>0.80594481552225927</v>
      </c>
      <c r="Z344" s="96">
        <f t="shared" si="105"/>
        <v>394.97968316795618</v>
      </c>
      <c r="AA344" s="97">
        <f t="shared" si="108"/>
        <v>11.580316832044254</v>
      </c>
      <c r="AB344" s="97">
        <f t="shared" si="109"/>
        <v>251.58031683204464</v>
      </c>
      <c r="AC344" s="97">
        <f t="shared" si="110"/>
        <v>4820.622095796527</v>
      </c>
      <c r="AD344" s="96"/>
      <c r="AE344" s="105">
        <f t="shared" si="102"/>
        <v>4.9796831679561819</v>
      </c>
    </row>
    <row r="345" spans="5:31" x14ac:dyDescent="0.35">
      <c r="E345" s="100">
        <f t="shared" si="93"/>
        <v>1.2381944444444817</v>
      </c>
      <c r="F345" s="5">
        <v>20</v>
      </c>
      <c r="G345" s="5">
        <f t="shared" si="106"/>
        <v>140</v>
      </c>
      <c r="H345" s="106">
        <f t="shared" si="106"/>
        <v>3.8194444444444443E-3</v>
      </c>
      <c r="I345" s="110">
        <f t="shared" si="103"/>
        <v>1.7687499999999998E-2</v>
      </c>
      <c r="J345" s="5">
        <v>1.05</v>
      </c>
      <c r="K345" s="5">
        <v>0</v>
      </c>
      <c r="L345" s="5">
        <v>0</v>
      </c>
      <c r="N345" s="5">
        <f t="shared" si="95"/>
        <v>140</v>
      </c>
      <c r="O345" s="97">
        <f t="shared" si="96"/>
        <v>181.81818181818184</v>
      </c>
      <c r="P345" s="5">
        <f t="shared" si="97"/>
        <v>1.0249999999999999</v>
      </c>
      <c r="R345" s="96">
        <f t="shared" si="98"/>
        <v>4.153550655532058</v>
      </c>
      <c r="S345" s="95">
        <f t="shared" si="99"/>
        <v>0.97429966879303587</v>
      </c>
      <c r="T345" s="96">
        <f t="shared" si="100"/>
        <v>60.099071555555561</v>
      </c>
      <c r="U345" s="97"/>
      <c r="V345" s="97">
        <f t="shared" si="104"/>
        <v>52.863371979498929</v>
      </c>
      <c r="W345" s="96">
        <f t="shared" si="94"/>
        <v>58.554505511346747</v>
      </c>
      <c r="X345" s="96">
        <f t="shared" si="107"/>
        <v>0.77206930108621941</v>
      </c>
      <c r="Y345" s="96">
        <f t="shared" si="101"/>
        <v>0.79923906963105018</v>
      </c>
      <c r="Z345" s="96">
        <f t="shared" si="105"/>
        <v>395.77892223758721</v>
      </c>
      <c r="AA345" s="97">
        <f t="shared" si="108"/>
        <v>10.781077762413204</v>
      </c>
      <c r="AB345" s="97">
        <f t="shared" si="109"/>
        <v>250.78107776241359</v>
      </c>
      <c r="AC345" s="97">
        <f t="shared" si="110"/>
        <v>4834.6169584904437</v>
      </c>
      <c r="AD345" s="96"/>
      <c r="AE345" s="105">
        <f t="shared" si="102"/>
        <v>5.77892223758721</v>
      </c>
    </row>
    <row r="346" spans="5:31" x14ac:dyDescent="0.35">
      <c r="E346" s="100">
        <f t="shared" si="93"/>
        <v>1.2388888888889262</v>
      </c>
      <c r="F346" s="5">
        <v>20</v>
      </c>
      <c r="G346" s="5">
        <f t="shared" si="106"/>
        <v>140</v>
      </c>
      <c r="H346" s="106">
        <f t="shared" si="106"/>
        <v>3.8194444444444443E-3</v>
      </c>
      <c r="I346" s="110">
        <f t="shared" si="103"/>
        <v>1.7687499999999998E-2</v>
      </c>
      <c r="J346" s="5">
        <v>1.05</v>
      </c>
      <c r="K346" s="5">
        <v>0</v>
      </c>
      <c r="L346" s="5">
        <v>0</v>
      </c>
      <c r="N346" s="5">
        <f t="shared" si="95"/>
        <v>140</v>
      </c>
      <c r="O346" s="97">
        <f t="shared" si="96"/>
        <v>181.81818181818184</v>
      </c>
      <c r="P346" s="5">
        <f t="shared" si="97"/>
        <v>1.0249999999999999</v>
      </c>
      <c r="R346" s="96">
        <f t="shared" si="98"/>
        <v>4.153550655532058</v>
      </c>
      <c r="S346" s="95">
        <f t="shared" si="99"/>
        <v>0.97416713071847538</v>
      </c>
      <c r="T346" s="96">
        <f t="shared" si="100"/>
        <v>60.099071555555561</v>
      </c>
      <c r="U346" s="97"/>
      <c r="V346" s="97">
        <f t="shared" si="104"/>
        <v>52.863371979498929</v>
      </c>
      <c r="W346" s="96">
        <f t="shared" si="94"/>
        <v>58.546540096119898</v>
      </c>
      <c r="X346" s="96">
        <f t="shared" si="107"/>
        <v>0.77147954380343375</v>
      </c>
      <c r="Y346" s="96">
        <f t="shared" si="101"/>
        <v>0.79259090479926053</v>
      </c>
      <c r="Z346" s="96">
        <f t="shared" si="105"/>
        <v>396.57151314238649</v>
      </c>
      <c r="AA346" s="97">
        <f t="shared" si="108"/>
        <v>9.9884868576139443</v>
      </c>
      <c r="AB346" s="97">
        <f t="shared" si="109"/>
        <v>249.98848685761433</v>
      </c>
      <c r="AC346" s="97">
        <f t="shared" si="110"/>
        <v>4848.6099174044302</v>
      </c>
      <c r="AD346" s="96"/>
      <c r="AE346" s="105">
        <f t="shared" si="102"/>
        <v>6.5715131423864932</v>
      </c>
    </row>
    <row r="347" spans="5:31" x14ac:dyDescent="0.35">
      <c r="E347" s="100">
        <f t="shared" si="93"/>
        <v>1.2395833333333708</v>
      </c>
      <c r="F347" s="5">
        <v>20</v>
      </c>
      <c r="G347" s="5">
        <f t="shared" si="106"/>
        <v>140</v>
      </c>
      <c r="H347" s="106">
        <f t="shared" si="106"/>
        <v>3.8194444444444443E-3</v>
      </c>
      <c r="I347" s="110">
        <f t="shared" si="103"/>
        <v>1.7687499999999998E-2</v>
      </c>
      <c r="J347" s="5">
        <v>1.05</v>
      </c>
      <c r="K347" s="5">
        <v>0</v>
      </c>
      <c r="L347" s="5">
        <v>0</v>
      </c>
      <c r="N347" s="5">
        <f t="shared" si="95"/>
        <v>140</v>
      </c>
      <c r="O347" s="97">
        <f t="shared" si="96"/>
        <v>181.81818181818184</v>
      </c>
      <c r="P347" s="5">
        <f t="shared" si="97"/>
        <v>1.0249999999999999</v>
      </c>
      <c r="R347" s="96">
        <f t="shared" si="98"/>
        <v>4.153550655532058</v>
      </c>
      <c r="S347" s="95">
        <f t="shared" si="99"/>
        <v>0.97403569511124888</v>
      </c>
      <c r="T347" s="96">
        <f t="shared" si="100"/>
        <v>60.099071555555561</v>
      </c>
      <c r="U347" s="97"/>
      <c r="V347" s="97">
        <f t="shared" si="104"/>
        <v>52.863371979498929</v>
      </c>
      <c r="W347" s="96">
        <f t="shared" si="94"/>
        <v>58.538640938156249</v>
      </c>
      <c r="X347" s="96">
        <f t="shared" si="107"/>
        <v>0.77089469219127371</v>
      </c>
      <c r="Y347" s="96">
        <f t="shared" si="101"/>
        <v>0.78599979746327353</v>
      </c>
      <c r="Z347" s="96">
        <f t="shared" si="105"/>
        <v>397.35751293984976</v>
      </c>
      <c r="AA347" s="97">
        <f t="shared" si="108"/>
        <v>9.2024870601506699</v>
      </c>
      <c r="AB347" s="97">
        <f t="shared" si="109"/>
        <v>249.20248706015107</v>
      </c>
      <c r="AC347" s="97">
        <f t="shared" si="110"/>
        <v>4862.6009883743527</v>
      </c>
      <c r="AD347" s="96"/>
      <c r="AE347" s="105">
        <f t="shared" si="102"/>
        <v>7.3575129398497552</v>
      </c>
    </row>
    <row r="348" spans="5:31" x14ac:dyDescent="0.35">
      <c r="E348" s="100">
        <f t="shared" si="93"/>
        <v>1.2402777777778153</v>
      </c>
      <c r="F348" s="5">
        <v>20</v>
      </c>
      <c r="G348" s="5">
        <f t="shared" si="106"/>
        <v>140</v>
      </c>
      <c r="H348" s="106">
        <f t="shared" si="106"/>
        <v>3.8194444444444443E-3</v>
      </c>
      <c r="I348" s="110">
        <f t="shared" si="103"/>
        <v>1.7687499999999998E-2</v>
      </c>
      <c r="J348" s="5">
        <v>1.05</v>
      </c>
      <c r="K348" s="5">
        <v>0</v>
      </c>
      <c r="L348" s="5">
        <v>0</v>
      </c>
      <c r="N348" s="5">
        <f t="shared" si="95"/>
        <v>140</v>
      </c>
      <c r="O348" s="97">
        <f t="shared" si="96"/>
        <v>181.81818181818184</v>
      </c>
      <c r="P348" s="5">
        <f t="shared" si="97"/>
        <v>1.0249999999999999</v>
      </c>
      <c r="R348" s="96">
        <f t="shared" si="98"/>
        <v>4.153550655532058</v>
      </c>
      <c r="S348" s="95">
        <f t="shared" si="99"/>
        <v>0.97390535250949295</v>
      </c>
      <c r="T348" s="96">
        <f t="shared" si="100"/>
        <v>60.099071555555561</v>
      </c>
      <c r="U348" s="97"/>
      <c r="V348" s="97">
        <f t="shared" si="104"/>
        <v>52.863371979498929</v>
      </c>
      <c r="W348" s="96">
        <f t="shared" si="94"/>
        <v>58.530807468806579</v>
      </c>
      <c r="X348" s="96">
        <f t="shared" si="107"/>
        <v>0.77031470414710079</v>
      </c>
      <c r="Y348" s="96">
        <f t="shared" si="101"/>
        <v>0.77946522929167694</v>
      </c>
      <c r="Z348" s="96">
        <f t="shared" si="105"/>
        <v>398.13697816914146</v>
      </c>
      <c r="AA348" s="97">
        <f t="shared" si="108"/>
        <v>8.4230218308589926</v>
      </c>
      <c r="AB348" s="97">
        <f t="shared" si="109"/>
        <v>248.4230218308594</v>
      </c>
      <c r="AC348" s="97">
        <f t="shared" si="110"/>
        <v>4876.590187100167</v>
      </c>
      <c r="AD348" s="96"/>
      <c r="AE348" s="105">
        <f t="shared" si="102"/>
        <v>8.1369781691414573</v>
      </c>
    </row>
    <row r="349" spans="5:31" x14ac:dyDescent="0.35">
      <c r="E349" s="100">
        <f t="shared" si="93"/>
        <v>1.2409722222222599</v>
      </c>
      <c r="F349" s="5">
        <v>20</v>
      </c>
      <c r="G349" s="5">
        <f t="shared" si="106"/>
        <v>140</v>
      </c>
      <c r="H349" s="106">
        <f t="shared" si="106"/>
        <v>3.8194444444444443E-3</v>
      </c>
      <c r="I349" s="110">
        <f t="shared" si="103"/>
        <v>1.7687499999999998E-2</v>
      </c>
      <c r="J349" s="5">
        <v>1.05</v>
      </c>
      <c r="K349" s="5">
        <v>0</v>
      </c>
      <c r="L349" s="5">
        <v>0</v>
      </c>
      <c r="N349" s="5">
        <f t="shared" si="95"/>
        <v>140</v>
      </c>
      <c r="O349" s="97">
        <f t="shared" si="96"/>
        <v>181.81818181818184</v>
      </c>
      <c r="P349" s="5">
        <f t="shared" si="97"/>
        <v>1.0249999999999999</v>
      </c>
      <c r="R349" s="96">
        <f t="shared" si="98"/>
        <v>4.153550655532058</v>
      </c>
      <c r="S349" s="95">
        <f t="shared" si="99"/>
        <v>0.97377609353729988</v>
      </c>
      <c r="T349" s="96">
        <f t="shared" si="100"/>
        <v>60.099071555555561</v>
      </c>
      <c r="U349" s="97"/>
      <c r="V349" s="97">
        <f t="shared" si="104"/>
        <v>52.863371979498929</v>
      </c>
      <c r="W349" s="96">
        <f t="shared" si="94"/>
        <v>58.523039124587548</v>
      </c>
      <c r="X349" s="96">
        <f t="shared" si="107"/>
        <v>0.76973953795075212</v>
      </c>
      <c r="Y349" s="96">
        <f t="shared" si="101"/>
        <v>0.77298668712547858</v>
      </c>
      <c r="Z349" s="96">
        <f t="shared" si="105"/>
        <v>398.90996485626692</v>
      </c>
      <c r="AA349" s="97">
        <f t="shared" si="108"/>
        <v>7.6500351437335139</v>
      </c>
      <c r="AB349" s="97">
        <f t="shared" si="109"/>
        <v>247.65003514373393</v>
      </c>
      <c r="AC349" s="97">
        <f t="shared" si="110"/>
        <v>4890.5775291471527</v>
      </c>
      <c r="AD349" s="96"/>
      <c r="AE349" s="105">
        <f t="shared" si="102"/>
        <v>8.9099648562669245</v>
      </c>
    </row>
    <row r="350" spans="5:31" x14ac:dyDescent="0.35">
      <c r="E350" s="100">
        <f t="shared" si="93"/>
        <v>1.2416666666667044</v>
      </c>
      <c r="F350" s="5">
        <v>20</v>
      </c>
      <c r="G350" s="5">
        <f t="shared" si="106"/>
        <v>140</v>
      </c>
      <c r="H350" s="106">
        <f t="shared" si="106"/>
        <v>3.8194444444444443E-3</v>
      </c>
      <c r="I350" s="110">
        <f t="shared" si="103"/>
        <v>1.7687499999999998E-2</v>
      </c>
      <c r="J350" s="5">
        <v>1.05</v>
      </c>
      <c r="K350" s="5">
        <v>0</v>
      </c>
      <c r="L350" s="5">
        <v>0</v>
      </c>
      <c r="N350" s="5">
        <f t="shared" si="95"/>
        <v>140</v>
      </c>
      <c r="O350" s="97">
        <f t="shared" si="96"/>
        <v>181.81818181818184</v>
      </c>
      <c r="P350" s="5">
        <f t="shared" si="97"/>
        <v>1.0249999999999999</v>
      </c>
      <c r="R350" s="96">
        <f t="shared" si="98"/>
        <v>4.153550655532058</v>
      </c>
      <c r="S350" s="95">
        <f t="shared" si="99"/>
        <v>0.97364790890385877</v>
      </c>
      <c r="T350" s="96">
        <f t="shared" si="100"/>
        <v>60.099071555555561</v>
      </c>
      <c r="U350" s="97"/>
      <c r="V350" s="97">
        <f t="shared" si="104"/>
        <v>52.863371979498929</v>
      </c>
      <c r="W350" s="96">
        <f t="shared" si="94"/>
        <v>58.515335347130048</v>
      </c>
      <c r="X350" s="96">
        <f t="shared" si="107"/>
        <v>0.76916915226072446</v>
      </c>
      <c r="Y350" s="96">
        <f t="shared" si="101"/>
        <v>0.76656366291912736</v>
      </c>
      <c r="Z350" s="96">
        <f t="shared" si="105"/>
        <v>399.67652851918604</v>
      </c>
      <c r="AA350" s="97">
        <f t="shared" si="108"/>
        <v>6.8834714808143866</v>
      </c>
      <c r="AB350" s="97">
        <f t="shared" si="109"/>
        <v>246.88347148081479</v>
      </c>
      <c r="AC350" s="97">
        <f t="shared" si="110"/>
        <v>4904.5630299471359</v>
      </c>
      <c r="AD350" s="96"/>
      <c r="AE350" s="105">
        <f t="shared" si="102"/>
        <v>9.6765285191860357</v>
      </c>
    </row>
    <row r="351" spans="5:31" x14ac:dyDescent="0.35">
      <c r="E351" s="100">
        <f t="shared" si="93"/>
        <v>1.242361111111149</v>
      </c>
      <c r="F351" s="5">
        <v>20</v>
      </c>
      <c r="G351" s="5">
        <f t="shared" si="106"/>
        <v>140</v>
      </c>
      <c r="H351" s="106">
        <f t="shared" si="106"/>
        <v>3.8194444444444443E-3</v>
      </c>
      <c r="I351" s="110">
        <f t="shared" si="103"/>
        <v>1.7687499999999998E-2</v>
      </c>
      <c r="J351" s="5">
        <v>1.05</v>
      </c>
      <c r="K351" s="5">
        <v>0</v>
      </c>
      <c r="L351" s="5">
        <v>0</v>
      </c>
      <c r="N351" s="5">
        <f t="shared" si="95"/>
        <v>140</v>
      </c>
      <c r="O351" s="97">
        <f t="shared" si="96"/>
        <v>181.81818181818184</v>
      </c>
      <c r="P351" s="5">
        <f t="shared" si="97"/>
        <v>1.0249999999999999</v>
      </c>
      <c r="R351" s="96">
        <f t="shared" si="98"/>
        <v>4.153550655532058</v>
      </c>
      <c r="S351" s="95">
        <f t="shared" si="99"/>
        <v>0.97352078940260833</v>
      </c>
      <c r="T351" s="96">
        <f t="shared" si="100"/>
        <v>60.099071555555561</v>
      </c>
      <c r="U351" s="97"/>
      <c r="V351" s="97">
        <f t="shared" si="104"/>
        <v>52.863371979498929</v>
      </c>
      <c r="W351" s="96">
        <f t="shared" si="94"/>
        <v>58.507695583128296</v>
      </c>
      <c r="X351" s="96">
        <f t="shared" si="107"/>
        <v>0.7686035061104004</v>
      </c>
      <c r="Y351" s="96">
        <f t="shared" si="101"/>
        <v>0.76019565368230901</v>
      </c>
      <c r="Z351" s="96">
        <f t="shared" si="105"/>
        <v>400.43672417286837</v>
      </c>
      <c r="AA351" s="97">
        <f t="shared" si="108"/>
        <v>6.123275827132078</v>
      </c>
      <c r="AB351" s="97">
        <f t="shared" si="109"/>
        <v>246.12327582713249</v>
      </c>
      <c r="AC351" s="97">
        <f t="shared" si="110"/>
        <v>4918.5467047996999</v>
      </c>
      <c r="AD351" s="96"/>
      <c r="AE351" s="105">
        <f t="shared" si="102"/>
        <v>10.436724172868367</v>
      </c>
    </row>
    <row r="352" spans="5:31" x14ac:dyDescent="0.35">
      <c r="E352" s="100">
        <f t="shared" si="93"/>
        <v>1.2430555555555935</v>
      </c>
      <c r="F352" s="5">
        <v>20</v>
      </c>
      <c r="G352" s="5">
        <f t="shared" si="106"/>
        <v>140</v>
      </c>
      <c r="H352" s="106">
        <f t="shared" si="106"/>
        <v>3.8194444444444443E-3</v>
      </c>
      <c r="I352" s="110">
        <f t="shared" si="103"/>
        <v>1.7687499999999998E-2</v>
      </c>
      <c r="J352" s="5">
        <v>1.05</v>
      </c>
      <c r="K352" s="5">
        <v>0</v>
      </c>
      <c r="L352" s="5">
        <v>0</v>
      </c>
      <c r="N352" s="5">
        <f t="shared" si="95"/>
        <v>140</v>
      </c>
      <c r="O352" s="97">
        <f t="shared" si="96"/>
        <v>181.81818181818184</v>
      </c>
      <c r="P352" s="5">
        <f t="shared" si="97"/>
        <v>1.0249999999999999</v>
      </c>
      <c r="R352" s="96">
        <f t="shared" si="98"/>
        <v>4.153550655532058</v>
      </c>
      <c r="S352" s="95">
        <f t="shared" si="99"/>
        <v>0.97339472591039855</v>
      </c>
      <c r="T352" s="96">
        <f t="shared" si="100"/>
        <v>60.099071555555561</v>
      </c>
      <c r="U352" s="97"/>
      <c r="V352" s="97">
        <f t="shared" si="104"/>
        <v>52.863371979498929</v>
      </c>
      <c r="W352" s="96">
        <f t="shared" si="94"/>
        <v>58.500119284289433</v>
      </c>
      <c r="X352" s="96">
        <f t="shared" si="107"/>
        <v>0.76804255890431838</v>
      </c>
      <c r="Y352" s="96">
        <f t="shared" si="101"/>
        <v>0.75388216142252229</v>
      </c>
      <c r="Z352" s="96">
        <f t="shared" si="105"/>
        <v>401.19060633429086</v>
      </c>
      <c r="AA352" s="97">
        <f t="shared" si="108"/>
        <v>5.3693936657095556</v>
      </c>
      <c r="AB352" s="97">
        <f t="shared" si="109"/>
        <v>245.36939366570996</v>
      </c>
      <c r="AC352" s="97">
        <f t="shared" si="110"/>
        <v>4932.5285688733829</v>
      </c>
      <c r="AD352" s="96"/>
      <c r="AE352" s="105">
        <f t="shared" si="102"/>
        <v>11.190606334290862</v>
      </c>
    </row>
    <row r="353" spans="5:31" x14ac:dyDescent="0.35">
      <c r="E353" s="100">
        <f t="shared" si="93"/>
        <v>1.2437500000000381</v>
      </c>
      <c r="F353" s="5">
        <v>20</v>
      </c>
      <c r="G353" s="5">
        <f t="shared" si="106"/>
        <v>140</v>
      </c>
      <c r="H353" s="106">
        <f t="shared" si="106"/>
        <v>3.8194444444444443E-3</v>
      </c>
      <c r="I353" s="110">
        <f t="shared" si="103"/>
        <v>1.7687499999999998E-2</v>
      </c>
      <c r="J353" s="5">
        <v>1.05</v>
      </c>
      <c r="K353" s="5">
        <v>0</v>
      </c>
      <c r="L353" s="5">
        <v>0</v>
      </c>
      <c r="N353" s="5">
        <f t="shared" si="95"/>
        <v>140</v>
      </c>
      <c r="O353" s="97">
        <f t="shared" si="96"/>
        <v>181.81818181818184</v>
      </c>
      <c r="P353" s="5">
        <f t="shared" si="97"/>
        <v>1.0249999999999999</v>
      </c>
      <c r="R353" s="96">
        <f t="shared" si="98"/>
        <v>4.153550655532058</v>
      </c>
      <c r="S353" s="95">
        <f t="shared" si="99"/>
        <v>0.97326970938666102</v>
      </c>
      <c r="T353" s="96">
        <f t="shared" si="100"/>
        <v>60.099071555555561</v>
      </c>
      <c r="U353" s="97"/>
      <c r="V353" s="97">
        <f t="shared" si="104"/>
        <v>52.863371979498929</v>
      </c>
      <c r="W353" s="96">
        <f t="shared" si="94"/>
        <v>58.492605907283703</v>
      </c>
      <c r="X353" s="96">
        <f t="shared" si="107"/>
        <v>0.76748627041448481</v>
      </c>
      <c r="Y353" s="96">
        <f t="shared" si="101"/>
        <v>0.747622693088417</v>
      </c>
      <c r="Z353" s="96">
        <f t="shared" si="105"/>
        <v>401.93822902737929</v>
      </c>
      <c r="AA353" s="97">
        <f t="shared" si="108"/>
        <v>4.6217709726211389</v>
      </c>
      <c r="AB353" s="97">
        <f t="shared" si="109"/>
        <v>244.62177097262153</v>
      </c>
      <c r="AC353" s="97">
        <f t="shared" si="110"/>
        <v>4946.5086372068636</v>
      </c>
      <c r="AD353" s="96"/>
      <c r="AE353" s="105">
        <f t="shared" si="102"/>
        <v>11.938229027379293</v>
      </c>
    </row>
    <row r="354" spans="5:31" x14ac:dyDescent="0.35">
      <c r="E354" s="100">
        <f t="shared" si="93"/>
        <v>1.2444444444444827</v>
      </c>
      <c r="F354" s="5">
        <v>20</v>
      </c>
      <c r="G354" s="5">
        <f t="shared" si="106"/>
        <v>140</v>
      </c>
      <c r="H354" s="106">
        <f t="shared" si="106"/>
        <v>3.8194444444444443E-3</v>
      </c>
      <c r="I354" s="110">
        <f t="shared" si="103"/>
        <v>1.7687499999999998E-2</v>
      </c>
      <c r="J354" s="5">
        <v>1.05</v>
      </c>
      <c r="K354" s="5">
        <v>0</v>
      </c>
      <c r="L354" s="5">
        <v>0</v>
      </c>
      <c r="N354" s="5">
        <f t="shared" si="95"/>
        <v>140</v>
      </c>
      <c r="O354" s="97">
        <f t="shared" si="96"/>
        <v>181.81818181818184</v>
      </c>
      <c r="P354" s="5">
        <f t="shared" si="97"/>
        <v>1.0249999999999999</v>
      </c>
      <c r="R354" s="96">
        <f t="shared" si="98"/>
        <v>4.153550655532058</v>
      </c>
      <c r="S354" s="95">
        <f t="shared" si="99"/>
        <v>0.97314573087259115</v>
      </c>
      <c r="T354" s="96">
        <f t="shared" si="100"/>
        <v>60.099071555555561</v>
      </c>
      <c r="U354" s="97"/>
      <c r="V354" s="97">
        <f t="shared" si="104"/>
        <v>52.863371979498929</v>
      </c>
      <c r="W354" s="96">
        <f t="shared" si="94"/>
        <v>58.485154913695268</v>
      </c>
      <c r="X354" s="96">
        <f t="shared" si="107"/>
        <v>0.7669346007767277</v>
      </c>
      <c r="Y354" s="96">
        <f t="shared" si="101"/>
        <v>0.74141676051387684</v>
      </c>
      <c r="Z354" s="96">
        <f t="shared" si="105"/>
        <v>402.67964578789315</v>
      </c>
      <c r="AA354" s="97">
        <f t="shared" si="108"/>
        <v>3.8803542121072621</v>
      </c>
      <c r="AB354" s="97">
        <f t="shared" si="109"/>
        <v>243.88035421210765</v>
      </c>
      <c r="AC354" s="97">
        <f t="shared" si="110"/>
        <v>4960.4869247101369</v>
      </c>
      <c r="AD354" s="96"/>
      <c r="AE354" s="105">
        <f t="shared" si="102"/>
        <v>12.679645787893151</v>
      </c>
    </row>
    <row r="355" spans="5:31" x14ac:dyDescent="0.35">
      <c r="E355" s="100">
        <f t="shared" si="93"/>
        <v>1.2451388888889272</v>
      </c>
      <c r="F355" s="5">
        <v>20</v>
      </c>
      <c r="G355" s="5">
        <f t="shared" si="106"/>
        <v>140</v>
      </c>
      <c r="H355" s="106">
        <f t="shared" si="106"/>
        <v>3.8194444444444443E-3</v>
      </c>
      <c r="I355" s="110">
        <f t="shared" si="103"/>
        <v>1.7687499999999998E-2</v>
      </c>
      <c r="J355" s="5">
        <v>1.05</v>
      </c>
      <c r="K355" s="5">
        <v>0</v>
      </c>
      <c r="L355" s="5">
        <v>0</v>
      </c>
      <c r="N355" s="5">
        <f t="shared" si="95"/>
        <v>140</v>
      </c>
      <c r="O355" s="97">
        <f t="shared" si="96"/>
        <v>181.81818181818184</v>
      </c>
      <c r="P355" s="5">
        <f t="shared" si="97"/>
        <v>1.0249999999999999</v>
      </c>
      <c r="R355" s="96">
        <f t="shared" si="98"/>
        <v>4.153550655532058</v>
      </c>
      <c r="S355" s="95">
        <f t="shared" si="99"/>
        <v>0.97302278149033583</v>
      </c>
      <c r="T355" s="96">
        <f t="shared" si="100"/>
        <v>60.099071555555561</v>
      </c>
      <c r="U355" s="97"/>
      <c r="V355" s="97">
        <f t="shared" si="104"/>
        <v>52.863371979498929</v>
      </c>
      <c r="W355" s="96">
        <f t="shared" si="94"/>
        <v>58.477765769973395</v>
      </c>
      <c r="X355" s="96">
        <f t="shared" si="107"/>
        <v>0.7663875104870923</v>
      </c>
      <c r="Y355" s="96">
        <f t="shared" si="101"/>
        <v>0.73526388036284829</v>
      </c>
      <c r="Z355" s="96">
        <f t="shared" si="105"/>
        <v>403.41490966825597</v>
      </c>
      <c r="AA355" s="97">
        <f t="shared" si="108"/>
        <v>3.1450903317444139</v>
      </c>
      <c r="AB355" s="97">
        <f t="shared" si="109"/>
        <v>243.1450903317448</v>
      </c>
      <c r="AC355" s="97">
        <f t="shared" si="110"/>
        <v>4974.4634461656751</v>
      </c>
      <c r="AD355" s="96"/>
      <c r="AE355" s="105">
        <f t="shared" si="102"/>
        <v>13.414909668255973</v>
      </c>
    </row>
    <row r="356" spans="5:31" x14ac:dyDescent="0.35">
      <c r="E356" s="100">
        <f t="shared" si="93"/>
        <v>1.2458333333333718</v>
      </c>
      <c r="F356" s="5">
        <v>20</v>
      </c>
      <c r="G356" s="5">
        <f t="shared" si="106"/>
        <v>140</v>
      </c>
      <c r="H356" s="106">
        <f t="shared" si="106"/>
        <v>3.8194444444444443E-3</v>
      </c>
      <c r="I356" s="110">
        <f t="shared" si="103"/>
        <v>1.7687499999999998E-2</v>
      </c>
      <c r="J356" s="5">
        <v>1.05</v>
      </c>
      <c r="K356" s="5">
        <v>0</v>
      </c>
      <c r="L356" s="5">
        <v>0</v>
      </c>
      <c r="N356" s="5">
        <f t="shared" si="95"/>
        <v>140</v>
      </c>
      <c r="O356" s="97">
        <f t="shared" si="96"/>
        <v>181.81818181818184</v>
      </c>
      <c r="P356" s="5">
        <f t="shared" si="97"/>
        <v>1.0249999999999999</v>
      </c>
      <c r="R356" s="96">
        <f t="shared" si="98"/>
        <v>4.153550655532058</v>
      </c>
      <c r="S356" s="95">
        <f t="shared" si="99"/>
        <v>0.97290085244219504</v>
      </c>
      <c r="T356" s="96">
        <f t="shared" si="100"/>
        <v>60.099071555555561</v>
      </c>
      <c r="U356" s="97"/>
      <c r="V356" s="97">
        <f t="shared" si="104"/>
        <v>52.863371979498929</v>
      </c>
      <c r="W356" s="96">
        <f t="shared" si="94"/>
        <v>58.470437947384482</v>
      </c>
      <c r="X356" s="96">
        <f t="shared" si="107"/>
        <v>0.76584496039827676</v>
      </c>
      <c r="Y356" s="96">
        <f t="shared" si="101"/>
        <v>0.72916357407489252</v>
      </c>
      <c r="Z356" s="96">
        <f t="shared" si="105"/>
        <v>404.14407324233088</v>
      </c>
      <c r="AA356" s="97">
        <f t="shared" si="108"/>
        <v>2.4159267576695216</v>
      </c>
      <c r="AB356" s="97">
        <f t="shared" si="109"/>
        <v>242.41592675766989</v>
      </c>
      <c r="AC356" s="97">
        <f t="shared" si="110"/>
        <v>4988.4382162295815</v>
      </c>
      <c r="AD356" s="96"/>
      <c r="AE356" s="105">
        <f t="shared" si="102"/>
        <v>14.144073242330876</v>
      </c>
    </row>
    <row r="357" spans="5:31" x14ac:dyDescent="0.35">
      <c r="E357" s="100">
        <f t="shared" si="93"/>
        <v>1.2465277777778163</v>
      </c>
      <c r="F357" s="5">
        <v>20</v>
      </c>
      <c r="G357" s="5">
        <f t="shared" si="106"/>
        <v>140</v>
      </c>
      <c r="H357" s="106">
        <f t="shared" si="106"/>
        <v>3.8194444444444443E-3</v>
      </c>
      <c r="I357" s="110">
        <f t="shared" si="103"/>
        <v>1.7687499999999998E-2</v>
      </c>
      <c r="J357" s="5">
        <v>1.05</v>
      </c>
      <c r="K357" s="5">
        <v>0</v>
      </c>
      <c r="L357" s="5">
        <v>0</v>
      </c>
      <c r="N357" s="5">
        <f t="shared" si="95"/>
        <v>140</v>
      </c>
      <c r="O357" s="97">
        <f t="shared" si="96"/>
        <v>181.81818181818184</v>
      </c>
      <c r="P357" s="5">
        <f t="shared" si="97"/>
        <v>1.0249999999999999</v>
      </c>
      <c r="R357" s="96">
        <f t="shared" si="98"/>
        <v>4.153550655532058</v>
      </c>
      <c r="S357" s="95">
        <f t="shared" si="99"/>
        <v>0.97277993500982773</v>
      </c>
      <c r="T357" s="96">
        <f t="shared" si="100"/>
        <v>60.099071555555561</v>
      </c>
      <c r="U357" s="97"/>
      <c r="V357" s="97">
        <f t="shared" si="104"/>
        <v>52.863371979498929</v>
      </c>
      <c r="W357" s="96">
        <f t="shared" si="94"/>
        <v>58.463170921964327</v>
      </c>
      <c r="X357" s="96">
        <f t="shared" si="107"/>
        <v>0.7653069117161081</v>
      </c>
      <c r="Y357" s="96">
        <f t="shared" si="101"/>
        <v>0.72311536781145169</v>
      </c>
      <c r="Z357" s="96">
        <f t="shared" si="105"/>
        <v>404.86718861014231</v>
      </c>
      <c r="AA357" s="97">
        <f t="shared" si="108"/>
        <v>1.6928113898580699</v>
      </c>
      <c r="AB357" s="97">
        <f t="shared" si="109"/>
        <v>241.69281138985843</v>
      </c>
      <c r="AC357" s="97">
        <f t="shared" si="110"/>
        <v>5002.4112494327283</v>
      </c>
      <c r="AD357" s="96"/>
      <c r="AE357" s="105">
        <f t="shared" si="102"/>
        <v>14.867188610142307</v>
      </c>
    </row>
    <row r="358" spans="5:31" x14ac:dyDescent="0.35">
      <c r="E358" s="100">
        <f t="shared" si="93"/>
        <v>1.2472222222222609</v>
      </c>
      <c r="F358" s="5">
        <v>20</v>
      </c>
      <c r="G358" s="5">
        <f t="shared" si="106"/>
        <v>140</v>
      </c>
      <c r="H358" s="106">
        <f t="shared" si="106"/>
        <v>3.8194444444444443E-3</v>
      </c>
      <c r="I358" s="110">
        <f t="shared" si="103"/>
        <v>1.7687499999999998E-2</v>
      </c>
      <c r="J358" s="5">
        <v>1.05</v>
      </c>
      <c r="K358" s="5">
        <v>0</v>
      </c>
      <c r="L358" s="5">
        <v>0</v>
      </c>
      <c r="N358" s="5">
        <f t="shared" si="95"/>
        <v>140</v>
      </c>
      <c r="O358" s="97">
        <f t="shared" si="96"/>
        <v>181.81818181818184</v>
      </c>
      <c r="P358" s="5">
        <f t="shared" si="97"/>
        <v>1.0249999999999999</v>
      </c>
      <c r="R358" s="96">
        <f t="shared" si="98"/>
        <v>4.153550655532058</v>
      </c>
      <c r="S358" s="95">
        <f t="shared" si="99"/>
        <v>0.9726600205534699</v>
      </c>
      <c r="T358" s="96">
        <f t="shared" si="100"/>
        <v>60.099071555555561</v>
      </c>
      <c r="U358" s="97"/>
      <c r="V358" s="97">
        <f t="shared" si="104"/>
        <v>52.863371979498929</v>
      </c>
      <c r="W358" s="96">
        <f t="shared" si="94"/>
        <v>58.455964174471127</v>
      </c>
      <c r="X358" s="96">
        <f t="shared" si="107"/>
        <v>0.76477332599605841</v>
      </c>
      <c r="Y358" s="96">
        <f t="shared" si="101"/>
        <v>0.71711879240282794</v>
      </c>
      <c r="Z358" s="96">
        <f t="shared" si="105"/>
        <v>405.58430740254511</v>
      </c>
      <c r="AA358" s="97">
        <f t="shared" si="108"/>
        <v>0.97569259745524195</v>
      </c>
      <c r="AB358" s="97">
        <f t="shared" si="109"/>
        <v>240.97569259745561</v>
      </c>
      <c r="AC358" s="97">
        <f t="shared" si="110"/>
        <v>5016.3825601818844</v>
      </c>
      <c r="AD358" s="96"/>
      <c r="AE358" s="105">
        <f t="shared" si="102"/>
        <v>15.584307402545107</v>
      </c>
    </row>
    <row r="359" spans="5:31" x14ac:dyDescent="0.35">
      <c r="E359" s="100">
        <f t="shared" si="93"/>
        <v>1.2479166666667054</v>
      </c>
      <c r="F359" s="5">
        <v>20</v>
      </c>
      <c r="G359" s="5">
        <f t="shared" si="106"/>
        <v>140</v>
      </c>
      <c r="H359" s="106">
        <f t="shared" si="106"/>
        <v>3.8194444444444443E-3</v>
      </c>
      <c r="I359" s="110">
        <f t="shared" si="103"/>
        <v>1.7687499999999998E-2</v>
      </c>
      <c r="J359" s="5">
        <v>1.05</v>
      </c>
      <c r="K359" s="5">
        <v>0</v>
      </c>
      <c r="L359" s="5">
        <v>0</v>
      </c>
      <c r="N359" s="5">
        <f t="shared" si="95"/>
        <v>140</v>
      </c>
      <c r="O359" s="97">
        <f t="shared" si="96"/>
        <v>181.81818181818184</v>
      </c>
      <c r="P359" s="5">
        <f t="shared" si="97"/>
        <v>1.0249999999999999</v>
      </c>
      <c r="R359" s="96">
        <f t="shared" si="98"/>
        <v>4.153550655532058</v>
      </c>
      <c r="S359" s="95">
        <f t="shared" si="99"/>
        <v>0.97254110051116005</v>
      </c>
      <c r="T359" s="96">
        <f t="shared" si="100"/>
        <v>60.099071555555561</v>
      </c>
      <c r="U359" s="97"/>
      <c r="V359" s="97">
        <f t="shared" si="104"/>
        <v>52.863371979498929</v>
      </c>
      <c r="W359" s="96">
        <f t="shared" si="94"/>
        <v>58.448817190338964</v>
      </c>
      <c r="X359" s="96">
        <f t="shared" si="107"/>
        <v>0.76424416513979887</v>
      </c>
      <c r="Y359" s="96">
        <f t="shared" si="101"/>
        <v>0.71117338329584356</v>
      </c>
      <c r="Z359" s="96">
        <f t="shared" si="105"/>
        <v>406.29548078584094</v>
      </c>
      <c r="AA359" s="97">
        <f t="shared" si="108"/>
        <v>0.26451921415939839</v>
      </c>
      <c r="AB359" s="97">
        <f t="shared" si="109"/>
        <v>240.26451921415975</v>
      </c>
      <c r="AC359" s="97">
        <f t="shared" si="110"/>
        <v>5030.352162760837</v>
      </c>
      <c r="AD359" s="96"/>
      <c r="AE359" s="105">
        <f t="shared" si="102"/>
        <v>16.295480785840937</v>
      </c>
    </row>
    <row r="360" spans="5:31" x14ac:dyDescent="0.35">
      <c r="E360" s="100">
        <f t="shared" si="93"/>
        <v>1.24861111111115</v>
      </c>
      <c r="F360" s="5">
        <v>20</v>
      </c>
      <c r="G360" s="5">
        <f t="shared" si="106"/>
        <v>140</v>
      </c>
      <c r="H360" s="106">
        <f t="shared" si="106"/>
        <v>3.8194444444444443E-3</v>
      </c>
      <c r="I360" s="110">
        <f t="shared" si="103"/>
        <v>1.7687499999999998E-2</v>
      </c>
      <c r="J360" s="5">
        <v>1.05</v>
      </c>
      <c r="K360" s="5">
        <v>0</v>
      </c>
      <c r="L360" s="5">
        <v>0</v>
      </c>
      <c r="N360" s="5">
        <f t="shared" si="95"/>
        <v>140</v>
      </c>
      <c r="O360" s="97">
        <f t="shared" si="96"/>
        <v>181.81818181818184</v>
      </c>
      <c r="P360" s="5">
        <f t="shared" si="97"/>
        <v>1.0249999999999999</v>
      </c>
      <c r="R360" s="96">
        <f t="shared" si="98"/>
        <v>4.153550655532058</v>
      </c>
      <c r="S360" s="95">
        <f t="shared" si="99"/>
        <v>0.97242316639797388</v>
      </c>
      <c r="T360" s="96">
        <f t="shared" si="100"/>
        <v>60.099071555555561</v>
      </c>
      <c r="U360" s="97"/>
      <c r="V360" s="97">
        <f t="shared" si="104"/>
        <v>52.863371979498929</v>
      </c>
      <c r="W360" s="96">
        <f t="shared" si="94"/>
        <v>58.441729459631745</v>
      </c>
      <c r="X360" s="96">
        <f t="shared" si="107"/>
        <v>0.76371939139179434</v>
      </c>
      <c r="Y360" s="96">
        <f t="shared" si="101"/>
        <v>0.70527868050220366</v>
      </c>
      <c r="Z360" s="96">
        <f t="shared" si="105"/>
        <v>407.00075946634314</v>
      </c>
      <c r="AA360" s="97">
        <f t="shared" si="108"/>
        <v>-0.44075946634280527</v>
      </c>
      <c r="AB360" s="97">
        <f t="shared" si="109"/>
        <v>239.55924053365754</v>
      </c>
      <c r="AC360" s="97">
        <f t="shared" si="110"/>
        <v>5044.3200713314945</v>
      </c>
      <c r="AD360" s="96"/>
      <c r="AE360" s="105">
        <f t="shared" si="102"/>
        <v>17.000759466343141</v>
      </c>
    </row>
    <row r="361" spans="5:31" x14ac:dyDescent="0.35">
      <c r="E361" s="100">
        <f t="shared" si="93"/>
        <v>1.2493055555555945</v>
      </c>
      <c r="F361" s="5">
        <v>20</v>
      </c>
      <c r="G361" s="5">
        <f t="shared" si="106"/>
        <v>140</v>
      </c>
      <c r="H361" s="106">
        <f t="shared" si="106"/>
        <v>3.8194444444444443E-3</v>
      </c>
      <c r="I361" s="110">
        <f t="shared" si="103"/>
        <v>1.7687499999999998E-2</v>
      </c>
      <c r="J361" s="5">
        <v>1.05</v>
      </c>
      <c r="K361" s="5">
        <v>0</v>
      </c>
      <c r="L361" s="5">
        <v>0</v>
      </c>
      <c r="N361" s="5">
        <f t="shared" si="95"/>
        <v>140</v>
      </c>
      <c r="O361" s="97">
        <f t="shared" si="96"/>
        <v>181.81818181818184</v>
      </c>
      <c r="P361" s="5">
        <f t="shared" si="97"/>
        <v>1.0249999999999999</v>
      </c>
      <c r="R361" s="96">
        <f t="shared" si="98"/>
        <v>4.153550655532058</v>
      </c>
      <c r="S361" s="95">
        <f t="shared" si="99"/>
        <v>0.97230620980526705</v>
      </c>
      <c r="T361" s="96">
        <f t="shared" si="100"/>
        <v>60.099071555555561</v>
      </c>
      <c r="U361" s="97"/>
      <c r="V361" s="97">
        <f t="shared" si="104"/>
        <v>52.863371979498929</v>
      </c>
      <c r="W361" s="96">
        <f t="shared" si="94"/>
        <v>58.434700476997762</v>
      </c>
      <c r="X361" s="96">
        <f t="shared" si="107"/>
        <v>0.76319896733593373</v>
      </c>
      <c r="Y361" s="96">
        <f t="shared" si="101"/>
        <v>0.69943422854751047</v>
      </c>
      <c r="Z361" s="96">
        <f t="shared" si="105"/>
        <v>407.70019369489063</v>
      </c>
      <c r="AA361" s="97">
        <f t="shared" si="108"/>
        <v>-1.1401936948903157</v>
      </c>
      <c r="AB361" s="97">
        <f t="shared" si="109"/>
        <v>238.85980630511003</v>
      </c>
      <c r="AC361" s="97">
        <f t="shared" si="110"/>
        <v>5058.2862999349836</v>
      </c>
      <c r="AD361" s="96"/>
      <c r="AE361" s="105">
        <f t="shared" si="102"/>
        <v>17.700193694890629</v>
      </c>
    </row>
    <row r="362" spans="5:31" x14ac:dyDescent="0.35">
      <c r="E362" s="100">
        <f t="shared" si="93"/>
        <v>1.2500000000000391</v>
      </c>
      <c r="F362" s="5">
        <v>20</v>
      </c>
      <c r="G362" s="5">
        <f t="shared" si="106"/>
        <v>140</v>
      </c>
      <c r="H362" s="106">
        <f t="shared" si="106"/>
        <v>3.8194444444444443E-3</v>
      </c>
      <c r="I362" s="110">
        <f t="shared" si="103"/>
        <v>1.7687499999999998E-2</v>
      </c>
      <c r="J362" s="5">
        <v>1.05</v>
      </c>
      <c r="K362" s="5">
        <v>0</v>
      </c>
      <c r="L362" s="5">
        <v>0</v>
      </c>
      <c r="N362" s="5">
        <f t="shared" si="95"/>
        <v>140</v>
      </c>
      <c r="O362" s="97">
        <f t="shared" si="96"/>
        <v>181.81818181818184</v>
      </c>
      <c r="P362" s="5">
        <f t="shared" si="97"/>
        <v>1.03</v>
      </c>
      <c r="R362" s="96">
        <f t="shared" si="98"/>
        <v>4.1738118782419713</v>
      </c>
      <c r="S362" s="95">
        <f t="shared" si="99"/>
        <v>0.97219022239992636</v>
      </c>
      <c r="T362" s="96">
        <f t="shared" si="100"/>
        <v>60.099071555555561</v>
      </c>
      <c r="U362" s="97"/>
      <c r="V362" s="97">
        <f t="shared" si="104"/>
        <v>53.121242086716009</v>
      </c>
      <c r="W362" s="96">
        <f t="shared" si="94"/>
        <v>58.427729741624653</v>
      </c>
      <c r="X362" s="96">
        <f t="shared" si="107"/>
        <v>0.76268285589220031</v>
      </c>
      <c r="Y362" s="96">
        <f t="shared" si="101"/>
        <v>0.6936395764209633</v>
      </c>
      <c r="Z362" s="96">
        <f t="shared" si="105"/>
        <v>408.39383327131156</v>
      </c>
      <c r="AA362" s="97">
        <f t="shared" si="108"/>
        <v>-1.833833271311279</v>
      </c>
      <c r="AB362" s="97">
        <f t="shared" si="109"/>
        <v>268.16616672868906</v>
      </c>
      <c r="AC362" s="97">
        <f t="shared" si="110"/>
        <v>5072.2508624927332</v>
      </c>
      <c r="AD362" s="96"/>
      <c r="AE362" s="105">
        <f t="shared" si="102"/>
        <v>18.393833271311564</v>
      </c>
    </row>
    <row r="363" spans="5:31" x14ac:dyDescent="0.35">
      <c r="E363" s="100">
        <f t="shared" si="93"/>
        <v>1.2506944444444836</v>
      </c>
      <c r="F363" s="5">
        <v>20</v>
      </c>
      <c r="G363" s="5">
        <f t="shared" si="106"/>
        <v>140</v>
      </c>
      <c r="H363" s="106">
        <f t="shared" si="106"/>
        <v>3.8194444444444443E-3</v>
      </c>
      <c r="I363" s="110">
        <f t="shared" si="103"/>
        <v>1.7687499999999998E-2</v>
      </c>
      <c r="J363" s="5">
        <v>1.05</v>
      </c>
      <c r="K363" s="5">
        <v>0</v>
      </c>
      <c r="L363" s="5">
        <v>0</v>
      </c>
      <c r="N363" s="5">
        <f t="shared" si="95"/>
        <v>140</v>
      </c>
      <c r="O363" s="97">
        <f t="shared" si="96"/>
        <v>181.81818181818184</v>
      </c>
      <c r="P363" s="5">
        <f t="shared" si="97"/>
        <v>1.03</v>
      </c>
      <c r="R363" s="96">
        <f t="shared" si="98"/>
        <v>4.1738118782419713</v>
      </c>
      <c r="S363" s="95">
        <f t="shared" si="99"/>
        <v>0.97705010566953154</v>
      </c>
      <c r="T363" s="96">
        <f t="shared" si="100"/>
        <v>60.099071555555561</v>
      </c>
      <c r="U363" s="97"/>
      <c r="V363" s="97">
        <f t="shared" si="104"/>
        <v>53.121242086716009</v>
      </c>
      <c r="W363" s="96">
        <f t="shared" si="94"/>
        <v>58.719804213996298</v>
      </c>
      <c r="X363" s="96">
        <f t="shared" si="107"/>
        <v>0.78430797426851306</v>
      </c>
      <c r="Y363" s="96">
        <f t="shared" si="101"/>
        <v>0.93760373915259987</v>
      </c>
      <c r="Z363" s="96">
        <f t="shared" si="105"/>
        <v>409.33143701046419</v>
      </c>
      <c r="AA363" s="97">
        <f t="shared" si="108"/>
        <v>-2.7714370104638788</v>
      </c>
      <c r="AB363" s="97">
        <f t="shared" si="109"/>
        <v>267.22856298953644</v>
      </c>
      <c r="AC363" s="97">
        <f t="shared" si="110"/>
        <v>5086.2852325247586</v>
      </c>
      <c r="AD363" s="96"/>
      <c r="AE363" s="105">
        <f t="shared" si="102"/>
        <v>19.331437010464185</v>
      </c>
    </row>
    <row r="364" spans="5:31" x14ac:dyDescent="0.35">
      <c r="E364" s="100">
        <f t="shared" si="93"/>
        <v>1.2513888888889282</v>
      </c>
      <c r="F364" s="5">
        <v>20</v>
      </c>
      <c r="G364" s="5">
        <f t="shared" si="106"/>
        <v>140</v>
      </c>
      <c r="H364" s="106">
        <f t="shared" si="106"/>
        <v>3.8194444444444443E-3</v>
      </c>
      <c r="I364" s="110">
        <f t="shared" si="103"/>
        <v>1.7687499999999998E-2</v>
      </c>
      <c r="J364" s="5">
        <v>1.05</v>
      </c>
      <c r="K364" s="5">
        <v>0</v>
      </c>
      <c r="L364" s="5">
        <v>0</v>
      </c>
      <c r="N364" s="5">
        <f t="shared" si="95"/>
        <v>140</v>
      </c>
      <c r="O364" s="97">
        <f t="shared" si="96"/>
        <v>181.81818181818184</v>
      </c>
      <c r="P364" s="5">
        <f t="shared" si="97"/>
        <v>1.03</v>
      </c>
      <c r="R364" s="96">
        <f t="shared" si="98"/>
        <v>4.1738118782419713</v>
      </c>
      <c r="S364" s="95">
        <f t="shared" si="99"/>
        <v>0.97689462253687465</v>
      </c>
      <c r="T364" s="96">
        <f t="shared" si="100"/>
        <v>60.099071555555561</v>
      </c>
      <c r="U364" s="97"/>
      <c r="V364" s="97">
        <f t="shared" si="104"/>
        <v>53.121242086716009</v>
      </c>
      <c r="W364" s="96">
        <f t="shared" si="94"/>
        <v>58.71045982208107</v>
      </c>
      <c r="X364" s="96">
        <f t="shared" si="107"/>
        <v>0.78361611790845354</v>
      </c>
      <c r="Y364" s="96">
        <f t="shared" si="101"/>
        <v>0.92976150207247288</v>
      </c>
      <c r="Z364" s="96">
        <f t="shared" si="105"/>
        <v>410.26119851253668</v>
      </c>
      <c r="AA364" s="97">
        <f t="shared" si="108"/>
        <v>-3.7011985125363518</v>
      </c>
      <c r="AB364" s="97">
        <f t="shared" si="109"/>
        <v>266.29880148746395</v>
      </c>
      <c r="AC364" s="97">
        <f t="shared" si="110"/>
        <v>5100.3173691935162</v>
      </c>
      <c r="AD364" s="96"/>
      <c r="AE364" s="105">
        <f t="shared" si="102"/>
        <v>20.26119851253668</v>
      </c>
    </row>
    <row r="365" spans="5:31" x14ac:dyDescent="0.35">
      <c r="E365" s="100">
        <f t="shared" si="93"/>
        <v>1.2520833333333727</v>
      </c>
      <c r="F365" s="5">
        <v>20</v>
      </c>
      <c r="G365" s="5">
        <f t="shared" si="106"/>
        <v>140</v>
      </c>
      <c r="H365" s="106">
        <f t="shared" si="106"/>
        <v>3.8194444444444443E-3</v>
      </c>
      <c r="I365" s="110">
        <f t="shared" si="103"/>
        <v>1.7687499999999998E-2</v>
      </c>
      <c r="J365" s="5">
        <v>1.05</v>
      </c>
      <c r="K365" s="5">
        <v>0</v>
      </c>
      <c r="L365" s="5">
        <v>0</v>
      </c>
      <c r="N365" s="5">
        <f t="shared" si="95"/>
        <v>140</v>
      </c>
      <c r="O365" s="97">
        <f t="shared" si="96"/>
        <v>181.81818181818184</v>
      </c>
      <c r="P365" s="5">
        <f t="shared" si="97"/>
        <v>1.03</v>
      </c>
      <c r="R365" s="96">
        <f t="shared" si="98"/>
        <v>4.1738118782419713</v>
      </c>
      <c r="S365" s="95">
        <f t="shared" si="99"/>
        <v>0.97674043988494064</v>
      </c>
      <c r="T365" s="96">
        <f t="shared" si="100"/>
        <v>60.099071555555561</v>
      </c>
      <c r="U365" s="97"/>
      <c r="V365" s="97">
        <f t="shared" si="104"/>
        <v>53.121242086716009</v>
      </c>
      <c r="W365" s="96">
        <f t="shared" si="94"/>
        <v>58.701193587849865</v>
      </c>
      <c r="X365" s="96">
        <f t="shared" si="107"/>
        <v>0.78293004832309898</v>
      </c>
      <c r="Y365" s="96">
        <f t="shared" si="101"/>
        <v>0.92198727667878411</v>
      </c>
      <c r="Z365" s="96">
        <f t="shared" si="105"/>
        <v>411.18318578921549</v>
      </c>
      <c r="AA365" s="97">
        <f t="shared" si="108"/>
        <v>-4.6231857892151362</v>
      </c>
      <c r="AB365" s="97">
        <f t="shared" si="109"/>
        <v>265.37681421078514</v>
      </c>
      <c r="AC365" s="97">
        <f t="shared" si="110"/>
        <v>5114.3472911791396</v>
      </c>
      <c r="AD365" s="96"/>
      <c r="AE365" s="105">
        <f t="shared" si="102"/>
        <v>21.183185789215486</v>
      </c>
    </row>
    <row r="366" spans="5:31" x14ac:dyDescent="0.35">
      <c r="E366" s="100">
        <f t="shared" si="93"/>
        <v>1.2527777777778173</v>
      </c>
      <c r="F366" s="5">
        <v>20</v>
      </c>
      <c r="G366" s="5">
        <f t="shared" si="106"/>
        <v>140</v>
      </c>
      <c r="H366" s="106">
        <f t="shared" si="106"/>
        <v>3.8194444444444443E-3</v>
      </c>
      <c r="I366" s="110">
        <f t="shared" si="103"/>
        <v>1.7687499999999998E-2</v>
      </c>
      <c r="J366" s="5">
        <v>1.05</v>
      </c>
      <c r="K366" s="5">
        <v>0</v>
      </c>
      <c r="L366" s="5">
        <v>0</v>
      </c>
      <c r="N366" s="5">
        <f t="shared" si="95"/>
        <v>140</v>
      </c>
      <c r="O366" s="97">
        <f t="shared" si="96"/>
        <v>181.81818181818184</v>
      </c>
      <c r="P366" s="5">
        <f t="shared" si="97"/>
        <v>1.03</v>
      </c>
      <c r="R366" s="96">
        <f t="shared" si="98"/>
        <v>4.1738118782419713</v>
      </c>
      <c r="S366" s="95">
        <f t="shared" si="99"/>
        <v>0.97658754643532908</v>
      </c>
      <c r="T366" s="96">
        <f t="shared" si="100"/>
        <v>60.099071555555561</v>
      </c>
      <c r="U366" s="97"/>
      <c r="V366" s="97">
        <f t="shared" si="104"/>
        <v>53.121242086716009</v>
      </c>
      <c r="W366" s="96">
        <f t="shared" si="94"/>
        <v>58.692004833481285</v>
      </c>
      <c r="X366" s="96">
        <f t="shared" si="107"/>
        <v>0.78224971532673038</v>
      </c>
      <c r="Y366" s="96">
        <f t="shared" si="101"/>
        <v>0.91428043361911393</v>
      </c>
      <c r="Z366" s="96">
        <f t="shared" si="105"/>
        <v>412.09746622283461</v>
      </c>
      <c r="AA366" s="97">
        <f t="shared" si="108"/>
        <v>-5.5374662228342499</v>
      </c>
      <c r="AB366" s="97">
        <f t="shared" si="109"/>
        <v>264.46253377716602</v>
      </c>
      <c r="AC366" s="97">
        <f t="shared" si="110"/>
        <v>5128.3750169997611</v>
      </c>
      <c r="AD366" s="96"/>
      <c r="AE366" s="105">
        <f t="shared" si="102"/>
        <v>22.097466222834612</v>
      </c>
    </row>
    <row r="367" spans="5:31" x14ac:dyDescent="0.35">
      <c r="E367" s="100">
        <f t="shared" si="93"/>
        <v>1.2534722222222618</v>
      </c>
      <c r="F367" s="5">
        <v>20</v>
      </c>
      <c r="G367" s="5">
        <f t="shared" si="106"/>
        <v>140</v>
      </c>
      <c r="H367" s="106">
        <f t="shared" si="106"/>
        <v>3.8194444444444443E-3</v>
      </c>
      <c r="I367" s="110">
        <f t="shared" si="103"/>
        <v>1.7687499999999998E-2</v>
      </c>
      <c r="J367" s="5">
        <v>1.05</v>
      </c>
      <c r="K367" s="5">
        <v>0</v>
      </c>
      <c r="L367" s="5">
        <v>0</v>
      </c>
      <c r="N367" s="5">
        <f t="shared" si="95"/>
        <v>140</v>
      </c>
      <c r="O367" s="97">
        <f t="shared" si="96"/>
        <v>181.81818181818184</v>
      </c>
      <c r="P367" s="5">
        <f t="shared" si="97"/>
        <v>1.03</v>
      </c>
      <c r="R367" s="96">
        <f t="shared" si="98"/>
        <v>4.1738118782419713</v>
      </c>
      <c r="S367" s="95">
        <f t="shared" si="99"/>
        <v>0.97643593101400583</v>
      </c>
      <c r="T367" s="96">
        <f t="shared" si="100"/>
        <v>60.099071555555561</v>
      </c>
      <c r="U367" s="97"/>
      <c r="V367" s="97">
        <f t="shared" si="104"/>
        <v>53.121242086716009</v>
      </c>
      <c r="W367" s="96">
        <f t="shared" si="94"/>
        <v>58.682892887426249</v>
      </c>
      <c r="X367" s="96">
        <f t="shared" si="107"/>
        <v>0.78157506919802677</v>
      </c>
      <c r="Y367" s="96">
        <f t="shared" si="101"/>
        <v>0.90664035000609688</v>
      </c>
      <c r="Z367" s="96">
        <f t="shared" si="105"/>
        <v>413.00410657284073</v>
      </c>
      <c r="AA367" s="97">
        <f t="shared" si="108"/>
        <v>-6.4441065728403473</v>
      </c>
      <c r="AB367" s="97">
        <f t="shared" si="109"/>
        <v>263.5558934271599</v>
      </c>
      <c r="AC367" s="97">
        <f t="shared" si="110"/>
        <v>5142.4005650130084</v>
      </c>
      <c r="AD367" s="96"/>
      <c r="AE367" s="105">
        <f t="shared" si="102"/>
        <v>23.004106572840726</v>
      </c>
    </row>
    <row r="368" spans="5:31" x14ac:dyDescent="0.35">
      <c r="E368" s="100">
        <f t="shared" si="93"/>
        <v>1.2541666666667064</v>
      </c>
      <c r="F368" s="5">
        <v>20</v>
      </c>
      <c r="G368" s="5">
        <f t="shared" si="106"/>
        <v>140</v>
      </c>
      <c r="H368" s="106">
        <f t="shared" si="106"/>
        <v>3.8194444444444443E-3</v>
      </c>
      <c r="I368" s="110">
        <f t="shared" si="103"/>
        <v>1.7687499999999998E-2</v>
      </c>
      <c r="J368" s="5">
        <v>1.05</v>
      </c>
      <c r="K368" s="5">
        <v>0</v>
      </c>
      <c r="L368" s="5">
        <v>0</v>
      </c>
      <c r="N368" s="5">
        <f t="shared" si="95"/>
        <v>140</v>
      </c>
      <c r="O368" s="97">
        <f t="shared" si="96"/>
        <v>181.81818181818184</v>
      </c>
      <c r="P368" s="5">
        <f t="shared" si="97"/>
        <v>1.03</v>
      </c>
      <c r="R368" s="96">
        <f t="shared" si="98"/>
        <v>4.1738118782419713</v>
      </c>
      <c r="S368" s="95">
        <f t="shared" si="99"/>
        <v>0.97628558255023012</v>
      </c>
      <c r="T368" s="96">
        <f t="shared" si="100"/>
        <v>60.099071555555561</v>
      </c>
      <c r="U368" s="97"/>
      <c r="V368" s="97">
        <f t="shared" si="104"/>
        <v>53.121242086716009</v>
      </c>
      <c r="W368" s="96">
        <f t="shared" si="94"/>
        <v>58.673857084343524</v>
      </c>
      <c r="X368" s="96">
        <f t="shared" si="107"/>
        <v>0.780906060675295</v>
      </c>
      <c r="Y368" s="96">
        <f t="shared" si="101"/>
        <v>0.89906640934081195</v>
      </c>
      <c r="Z368" s="96">
        <f t="shared" si="105"/>
        <v>413.90317298218156</v>
      </c>
      <c r="AA368" s="97">
        <f t="shared" si="108"/>
        <v>-7.3431729821811595</v>
      </c>
      <c r="AB368" s="97">
        <f t="shared" si="109"/>
        <v>262.65682701781907</v>
      </c>
      <c r="AC368" s="97">
        <f t="shared" si="110"/>
        <v>5156.4239534174885</v>
      </c>
      <c r="AD368" s="96"/>
      <c r="AE368" s="105">
        <f t="shared" si="102"/>
        <v>23.903172982181559</v>
      </c>
    </row>
    <row r="369" spans="5:31" x14ac:dyDescent="0.35">
      <c r="E369" s="100">
        <f t="shared" si="93"/>
        <v>1.254861111111151</v>
      </c>
      <c r="F369" s="5">
        <v>20</v>
      </c>
      <c r="G369" s="5">
        <f t="shared" si="106"/>
        <v>140</v>
      </c>
      <c r="H369" s="106">
        <f t="shared" si="106"/>
        <v>3.8194444444444443E-3</v>
      </c>
      <c r="I369" s="110">
        <f t="shared" si="103"/>
        <v>1.7687499999999998E-2</v>
      </c>
      <c r="J369" s="5">
        <v>1.05</v>
      </c>
      <c r="K369" s="5">
        <v>0</v>
      </c>
      <c r="L369" s="5">
        <v>0</v>
      </c>
      <c r="N369" s="5">
        <f t="shared" si="95"/>
        <v>140</v>
      </c>
      <c r="O369" s="97">
        <f t="shared" si="96"/>
        <v>181.81818181818184</v>
      </c>
      <c r="P369" s="5">
        <f t="shared" si="97"/>
        <v>1.03</v>
      </c>
      <c r="R369" s="96">
        <f t="shared" si="98"/>
        <v>4.1738118782419713</v>
      </c>
      <c r="S369" s="95">
        <f t="shared" si="99"/>
        <v>0.97613649007549519</v>
      </c>
      <c r="T369" s="96">
        <f t="shared" si="100"/>
        <v>60.099071555555561</v>
      </c>
      <c r="U369" s="97"/>
      <c r="V369" s="97">
        <f t="shared" si="104"/>
        <v>53.121242086716009</v>
      </c>
      <c r="W369" s="96">
        <f t="shared" si="94"/>
        <v>58.664896765036033</v>
      </c>
      <c r="X369" s="96">
        <f t="shared" si="107"/>
        <v>0.78024264095175544</v>
      </c>
      <c r="Y369" s="96">
        <f t="shared" si="101"/>
        <v>0.89155800143723263</v>
      </c>
      <c r="Z369" s="96">
        <f t="shared" si="105"/>
        <v>414.79473098361882</v>
      </c>
      <c r="AA369" s="97">
        <f t="shared" si="108"/>
        <v>-8.2347309836183928</v>
      </c>
      <c r="AB369" s="97">
        <f t="shared" si="109"/>
        <v>261.76526901638181</v>
      </c>
      <c r="AC369" s="97">
        <f t="shared" si="110"/>
        <v>5170.4452002542566</v>
      </c>
      <c r="AD369" s="96"/>
      <c r="AE369" s="105">
        <f t="shared" si="102"/>
        <v>24.79473098361882</v>
      </c>
    </row>
    <row r="370" spans="5:31" x14ac:dyDescent="0.35">
      <c r="E370" s="100">
        <f t="shared" si="93"/>
        <v>1.2555555555555955</v>
      </c>
      <c r="F370" s="5">
        <v>20</v>
      </c>
      <c r="G370" s="5">
        <f t="shared" si="106"/>
        <v>140</v>
      </c>
      <c r="H370" s="106">
        <f t="shared" si="106"/>
        <v>3.8194444444444443E-3</v>
      </c>
      <c r="I370" s="110">
        <f t="shared" si="103"/>
        <v>1.7687499999999998E-2</v>
      </c>
      <c r="J370" s="5">
        <v>1.05</v>
      </c>
      <c r="K370" s="5">
        <v>0</v>
      </c>
      <c r="L370" s="5">
        <v>0</v>
      </c>
      <c r="N370" s="5">
        <f t="shared" si="95"/>
        <v>140</v>
      </c>
      <c r="O370" s="97">
        <f t="shared" si="96"/>
        <v>181.81818181818184</v>
      </c>
      <c r="P370" s="5">
        <f t="shared" si="97"/>
        <v>1.03</v>
      </c>
      <c r="R370" s="96">
        <f t="shared" si="98"/>
        <v>4.1738118782419713</v>
      </c>
      <c r="S370" s="95">
        <f t="shared" si="99"/>
        <v>0.97598864272248242</v>
      </c>
      <c r="T370" s="96">
        <f t="shared" si="100"/>
        <v>60.099071555555561</v>
      </c>
      <c r="U370" s="97"/>
      <c r="V370" s="97">
        <f t="shared" si="104"/>
        <v>53.121242086716009</v>
      </c>
      <c r="W370" s="96">
        <f t="shared" si="94"/>
        <v>58.656011276388021</v>
      </c>
      <c r="X370" s="96">
        <f t="shared" si="107"/>
        <v>0.77958476167088375</v>
      </c>
      <c r="Y370" s="96">
        <f t="shared" si="101"/>
        <v>0.88411452234772958</v>
      </c>
      <c r="Z370" s="96">
        <f t="shared" si="105"/>
        <v>415.67884550596654</v>
      </c>
      <c r="AA370" s="97">
        <f t="shared" si="108"/>
        <v>-9.1188455059661226</v>
      </c>
      <c r="AB370" s="97">
        <f t="shared" si="109"/>
        <v>260.88115449403409</v>
      </c>
      <c r="AC370" s="97">
        <f t="shared" si="110"/>
        <v>5184.4643234082687</v>
      </c>
      <c r="AD370" s="96"/>
      <c r="AE370" s="105">
        <f t="shared" si="102"/>
        <v>25.678845505966535</v>
      </c>
    </row>
    <row r="371" spans="5:31" x14ac:dyDescent="0.35">
      <c r="E371" s="100">
        <f t="shared" si="93"/>
        <v>1.2562500000000401</v>
      </c>
      <c r="F371" s="5">
        <v>20</v>
      </c>
      <c r="G371" s="5">
        <f t="shared" si="106"/>
        <v>140</v>
      </c>
      <c r="H371" s="106">
        <f t="shared" si="106"/>
        <v>3.8194444444444443E-3</v>
      </c>
      <c r="I371" s="110">
        <f t="shared" si="103"/>
        <v>1.7687499999999998E-2</v>
      </c>
      <c r="J371" s="5">
        <v>1.05</v>
      </c>
      <c r="K371" s="5">
        <v>0</v>
      </c>
      <c r="L371" s="5">
        <v>0</v>
      </c>
      <c r="N371" s="5">
        <f t="shared" si="95"/>
        <v>140</v>
      </c>
      <c r="O371" s="97">
        <f t="shared" si="96"/>
        <v>181.81818181818184</v>
      </c>
      <c r="P371" s="5">
        <f t="shared" si="97"/>
        <v>1.03</v>
      </c>
      <c r="R371" s="96">
        <f t="shared" si="98"/>
        <v>4.1738118782419713</v>
      </c>
      <c r="S371" s="95">
        <f t="shared" si="99"/>
        <v>0.97584202972402501</v>
      </c>
      <c r="T371" s="96">
        <f t="shared" si="100"/>
        <v>60.099071555555561</v>
      </c>
      <c r="U371" s="97"/>
      <c r="V371" s="97">
        <f t="shared" si="104"/>
        <v>53.121242086716009</v>
      </c>
      <c r="W371" s="96">
        <f t="shared" si="94"/>
        <v>58.647199971302754</v>
      </c>
      <c r="X371" s="96">
        <f t="shared" si="107"/>
        <v>0.77893237492180778</v>
      </c>
      <c r="Y371" s="96">
        <f t="shared" si="101"/>
        <v>0.87673537428960335</v>
      </c>
      <c r="Z371" s="96">
        <f t="shared" si="105"/>
        <v>416.55558088025612</v>
      </c>
      <c r="AA371" s="97">
        <f t="shared" si="108"/>
        <v>-9.9955808802557264</v>
      </c>
      <c r="AB371" s="97">
        <f t="shared" si="109"/>
        <v>260.00441911974451</v>
      </c>
      <c r="AC371" s="97">
        <f t="shared" si="110"/>
        <v>5198.4813406098228</v>
      </c>
      <c r="AD371" s="96"/>
      <c r="AE371" s="105">
        <f t="shared" si="102"/>
        <v>26.555580880256116</v>
      </c>
    </row>
    <row r="372" spans="5:31" x14ac:dyDescent="0.35">
      <c r="E372" s="100">
        <f t="shared" si="93"/>
        <v>1.2569444444444846</v>
      </c>
      <c r="F372" s="5">
        <v>20</v>
      </c>
      <c r="G372" s="5">
        <f t="shared" si="106"/>
        <v>140</v>
      </c>
      <c r="H372" s="106">
        <f t="shared" si="106"/>
        <v>3.8194444444444443E-3</v>
      </c>
      <c r="I372" s="110">
        <f t="shared" si="103"/>
        <v>1.7687499999999998E-2</v>
      </c>
      <c r="J372" s="5">
        <v>1.05</v>
      </c>
      <c r="K372" s="5">
        <v>0</v>
      </c>
      <c r="L372" s="5">
        <v>0</v>
      </c>
      <c r="N372" s="5">
        <f t="shared" si="95"/>
        <v>140</v>
      </c>
      <c r="O372" s="97">
        <f t="shared" si="96"/>
        <v>181.81818181818184</v>
      </c>
      <c r="P372" s="5">
        <f t="shared" si="97"/>
        <v>1.03</v>
      </c>
      <c r="R372" s="96">
        <f t="shared" si="98"/>
        <v>4.1738118782419713</v>
      </c>
      <c r="S372" s="95">
        <f t="shared" si="99"/>
        <v>0.97569664041208737</v>
      </c>
      <c r="T372" s="96">
        <f t="shared" si="100"/>
        <v>60.099071555555561</v>
      </c>
      <c r="U372" s="97"/>
      <c r="V372" s="97">
        <f t="shared" si="104"/>
        <v>53.121242086716009</v>
      </c>
      <c r="W372" s="96">
        <f t="shared" si="94"/>
        <v>58.638462208641201</v>
      </c>
      <c r="X372" s="96">
        <f t="shared" si="107"/>
        <v>0.77828543323475818</v>
      </c>
      <c r="Y372" s="96">
        <f t="shared" si="101"/>
        <v>0.86941996557262757</v>
      </c>
      <c r="Z372" s="96">
        <f t="shared" si="105"/>
        <v>417.42500084582872</v>
      </c>
      <c r="AA372" s="97">
        <f t="shared" si="108"/>
        <v>-10.865000845828353</v>
      </c>
      <c r="AB372" s="97">
        <f t="shared" si="109"/>
        <v>259.13499915417191</v>
      </c>
      <c r="AC372" s="97">
        <f t="shared" si="110"/>
        <v>5212.4962694359801</v>
      </c>
      <c r="AD372" s="96"/>
      <c r="AE372" s="105">
        <f t="shared" si="102"/>
        <v>27.42500084582872</v>
      </c>
    </row>
    <row r="373" spans="5:31" x14ac:dyDescent="0.35">
      <c r="E373" s="100">
        <f t="shared" si="93"/>
        <v>1.2576388888889292</v>
      </c>
      <c r="F373" s="5">
        <v>20</v>
      </c>
      <c r="G373" s="5">
        <f t="shared" si="106"/>
        <v>140</v>
      </c>
      <c r="H373" s="106">
        <f t="shared" si="106"/>
        <v>3.8194444444444443E-3</v>
      </c>
      <c r="I373" s="110">
        <f t="shared" si="103"/>
        <v>1.7687499999999998E-2</v>
      </c>
      <c r="J373" s="5">
        <v>1.05</v>
      </c>
      <c r="K373" s="5">
        <v>0</v>
      </c>
      <c r="L373" s="5">
        <v>0</v>
      </c>
      <c r="N373" s="5">
        <f t="shared" si="95"/>
        <v>140</v>
      </c>
      <c r="O373" s="97">
        <f t="shared" si="96"/>
        <v>181.81818181818184</v>
      </c>
      <c r="P373" s="5">
        <f t="shared" si="97"/>
        <v>1.03</v>
      </c>
      <c r="R373" s="96">
        <f t="shared" si="98"/>
        <v>4.1738118782419713</v>
      </c>
      <c r="S373" s="95">
        <f t="shared" si="99"/>
        <v>0.97555246421675368</v>
      </c>
      <c r="T373" s="96">
        <f t="shared" si="100"/>
        <v>60.099071555555561</v>
      </c>
      <c r="U373" s="97"/>
      <c r="V373" s="97">
        <f t="shared" si="104"/>
        <v>53.121242086716009</v>
      </c>
      <c r="W373" s="96">
        <f t="shared" si="94"/>
        <v>58.629797353161237</v>
      </c>
      <c r="X373" s="96">
        <f t="shared" si="107"/>
        <v>0.77764388957657304</v>
      </c>
      <c r="Y373" s="96">
        <f t="shared" si="101"/>
        <v>0.86216771052759622</v>
      </c>
      <c r="Z373" s="96">
        <f t="shared" si="105"/>
        <v>418.28716855635633</v>
      </c>
      <c r="AA373" s="97">
        <f t="shared" si="108"/>
        <v>-11.727168556355949</v>
      </c>
      <c r="AB373" s="97">
        <f t="shared" si="109"/>
        <v>258.27283144364429</v>
      </c>
      <c r="AC373" s="97">
        <f t="shared" si="110"/>
        <v>5226.5091273119751</v>
      </c>
      <c r="AD373" s="96"/>
      <c r="AE373" s="105">
        <f t="shared" si="102"/>
        <v>28.287168556356335</v>
      </c>
    </row>
    <row r="374" spans="5:31" x14ac:dyDescent="0.35">
      <c r="E374" s="100">
        <f t="shared" si="93"/>
        <v>1.2583333333333737</v>
      </c>
      <c r="F374" s="5">
        <v>20</v>
      </c>
      <c r="G374" s="5">
        <f t="shared" si="106"/>
        <v>140</v>
      </c>
      <c r="H374" s="106">
        <f t="shared" si="106"/>
        <v>3.8194444444444443E-3</v>
      </c>
      <c r="I374" s="110">
        <f t="shared" si="103"/>
        <v>1.7687499999999998E-2</v>
      </c>
      <c r="J374" s="5">
        <v>1.05</v>
      </c>
      <c r="K374" s="5">
        <v>0</v>
      </c>
      <c r="L374" s="5">
        <v>0</v>
      </c>
      <c r="N374" s="5">
        <f t="shared" si="95"/>
        <v>140</v>
      </c>
      <c r="O374" s="97">
        <f t="shared" si="96"/>
        <v>181.81818181818184</v>
      </c>
      <c r="P374" s="5">
        <f t="shared" si="97"/>
        <v>1.03</v>
      </c>
      <c r="R374" s="96">
        <f t="shared" si="98"/>
        <v>4.1738118782419713</v>
      </c>
      <c r="S374" s="95">
        <f t="shared" si="99"/>
        <v>0.97540949066523031</v>
      </c>
      <c r="T374" s="96">
        <f t="shared" si="100"/>
        <v>60.099071555555561</v>
      </c>
      <c r="U374" s="97"/>
      <c r="V374" s="97">
        <f t="shared" si="104"/>
        <v>53.121242086716009</v>
      </c>
      <c r="W374" s="96">
        <f t="shared" si="94"/>
        <v>58.621204775457677</v>
      </c>
      <c r="X374" s="96">
        <f t="shared" si="107"/>
        <v>0.77700769734625452</v>
      </c>
      <c r="Y374" s="96">
        <f t="shared" si="101"/>
        <v>0.85497802943584422</v>
      </c>
      <c r="Z374" s="96">
        <f t="shared" si="105"/>
        <v>419.1421465857922</v>
      </c>
      <c r="AA374" s="97">
        <f t="shared" si="108"/>
        <v>-12.582146585791794</v>
      </c>
      <c r="AB374" s="97">
        <f t="shared" si="109"/>
        <v>257.41785341420842</v>
      </c>
      <c r="AC374" s="97">
        <f t="shared" si="110"/>
        <v>5240.5199315126101</v>
      </c>
      <c r="AD374" s="96"/>
      <c r="AE374" s="105">
        <f t="shared" si="102"/>
        <v>29.142146585792204</v>
      </c>
    </row>
    <row r="375" spans="5:31" x14ac:dyDescent="0.35">
      <c r="E375" s="100">
        <f t="shared" ref="E375:E438" si="111">E374+TIME(0,1,0)</f>
        <v>1.2590277777778183</v>
      </c>
      <c r="F375" s="5">
        <v>20</v>
      </c>
      <c r="G375" s="5">
        <f t="shared" si="106"/>
        <v>140</v>
      </c>
      <c r="H375" s="106">
        <f t="shared" si="106"/>
        <v>3.8194444444444443E-3</v>
      </c>
      <c r="I375" s="110">
        <f t="shared" si="103"/>
        <v>1.7687499999999998E-2</v>
      </c>
      <c r="J375" s="5">
        <v>1.05</v>
      </c>
      <c r="K375" s="5">
        <v>0</v>
      </c>
      <c r="L375" s="5">
        <v>0</v>
      </c>
      <c r="N375" s="5">
        <f t="shared" si="95"/>
        <v>140</v>
      </c>
      <c r="O375" s="97">
        <f t="shared" si="96"/>
        <v>181.81818181818184</v>
      </c>
      <c r="P375" s="5">
        <f t="shared" si="97"/>
        <v>1.03</v>
      </c>
      <c r="R375" s="96">
        <f t="shared" si="98"/>
        <v>4.1738118782419713</v>
      </c>
      <c r="S375" s="95">
        <f t="shared" si="99"/>
        <v>0.97526770938085794</v>
      </c>
      <c r="T375" s="96">
        <f t="shared" si="100"/>
        <v>60.099071555555561</v>
      </c>
      <c r="U375" s="97"/>
      <c r="V375" s="97">
        <f t="shared" si="104"/>
        <v>53.121242086716009</v>
      </c>
      <c r="W375" s="96">
        <f t="shared" ref="W375:W438" si="112">S375*T375</f>
        <v>58.612683851902943</v>
      </c>
      <c r="X375" s="96">
        <f t="shared" si="107"/>
        <v>0.77637681037057871</v>
      </c>
      <c r="Y375" s="96">
        <f t="shared" si="101"/>
        <v>0.84785034845974883</v>
      </c>
      <c r="Z375" s="96">
        <f t="shared" si="105"/>
        <v>419.98999693425196</v>
      </c>
      <c r="AA375" s="97">
        <f t="shared" si="108"/>
        <v>-13.429996934251543</v>
      </c>
      <c r="AB375" s="97">
        <f t="shared" si="109"/>
        <v>256.57000306574866</v>
      </c>
      <c r="AC375" s="97">
        <f t="shared" si="110"/>
        <v>5254.5286991636385</v>
      </c>
      <c r="AD375" s="96"/>
      <c r="AE375" s="105">
        <f t="shared" si="102"/>
        <v>29.989996934251963</v>
      </c>
    </row>
    <row r="376" spans="5:31" x14ac:dyDescent="0.35">
      <c r="E376" s="100">
        <f t="shared" si="111"/>
        <v>1.2597222222222628</v>
      </c>
      <c r="F376" s="5">
        <v>20</v>
      </c>
      <c r="G376" s="5">
        <f t="shared" si="106"/>
        <v>140</v>
      </c>
      <c r="H376" s="106">
        <f t="shared" si="106"/>
        <v>3.8194444444444443E-3</v>
      </c>
      <c r="I376" s="110">
        <f t="shared" si="103"/>
        <v>1.7687499999999998E-2</v>
      </c>
      <c r="J376" s="5">
        <v>1.05</v>
      </c>
      <c r="K376" s="5">
        <v>0</v>
      </c>
      <c r="L376" s="5">
        <v>0</v>
      </c>
      <c r="N376" s="5">
        <f t="shared" si="95"/>
        <v>140</v>
      </c>
      <c r="O376" s="97">
        <f t="shared" si="96"/>
        <v>181.81818181818184</v>
      </c>
      <c r="P376" s="5">
        <f t="shared" si="97"/>
        <v>1.03</v>
      </c>
      <c r="R376" s="96">
        <f t="shared" si="98"/>
        <v>4.1738118782419713</v>
      </c>
      <c r="S376" s="95">
        <f t="shared" si="99"/>
        <v>0.97512711008213726</v>
      </c>
      <c r="T376" s="96">
        <f t="shared" si="100"/>
        <v>60.099071555555561</v>
      </c>
      <c r="U376" s="97"/>
      <c r="V376" s="97">
        <f t="shared" si="104"/>
        <v>53.121242086716009</v>
      </c>
      <c r="W376" s="96">
        <f t="shared" si="112"/>
        <v>58.604233964588474</v>
      </c>
      <c r="X376" s="96">
        <f t="shared" si="107"/>
        <v>0.77575118289975542</v>
      </c>
      <c r="Y376" s="96">
        <f t="shared" si="101"/>
        <v>0.84078409957416722</v>
      </c>
      <c r="Z376" s="96">
        <f t="shared" si="105"/>
        <v>420.83078103382616</v>
      </c>
      <c r="AA376" s="97">
        <f t="shared" si="108"/>
        <v>-14.27078103382571</v>
      </c>
      <c r="AB376" s="97">
        <f t="shared" si="109"/>
        <v>255.7292189661745</v>
      </c>
      <c r="AC376" s="97">
        <f t="shared" si="110"/>
        <v>5268.5354472431291</v>
      </c>
      <c r="AD376" s="96"/>
      <c r="AE376" s="105">
        <f t="shared" si="102"/>
        <v>0.83078103382615609</v>
      </c>
    </row>
    <row r="377" spans="5:31" x14ac:dyDescent="0.35">
      <c r="E377" s="100">
        <f t="shared" si="111"/>
        <v>1.2604166666667074</v>
      </c>
      <c r="F377" s="5">
        <v>20</v>
      </c>
      <c r="G377" s="5">
        <f t="shared" si="106"/>
        <v>140</v>
      </c>
      <c r="H377" s="106">
        <f t="shared" si="106"/>
        <v>3.8194444444444443E-3</v>
      </c>
      <c r="I377" s="110">
        <f t="shared" si="103"/>
        <v>1.7687499999999998E-2</v>
      </c>
      <c r="J377" s="5">
        <v>1.05</v>
      </c>
      <c r="K377" s="5">
        <v>0</v>
      </c>
      <c r="L377" s="5">
        <v>0</v>
      </c>
      <c r="N377" s="5">
        <f t="shared" si="95"/>
        <v>140</v>
      </c>
      <c r="O377" s="97">
        <f t="shared" si="96"/>
        <v>181.81818181818184</v>
      </c>
      <c r="P377" s="5">
        <f t="shared" si="97"/>
        <v>1.03</v>
      </c>
      <c r="R377" s="96">
        <f t="shared" si="98"/>
        <v>4.1738118782419713</v>
      </c>
      <c r="S377" s="95">
        <f t="shared" si="99"/>
        <v>0.97498768258176505</v>
      </c>
      <c r="T377" s="96">
        <f t="shared" si="100"/>
        <v>60.099071555555561</v>
      </c>
      <c r="U377" s="97"/>
      <c r="V377" s="97">
        <f t="shared" si="104"/>
        <v>53.121242086716009</v>
      </c>
      <c r="W377" s="96">
        <f t="shared" si="112"/>
        <v>58.595854501266793</v>
      </c>
      <c r="X377" s="96">
        <f t="shared" si="107"/>
        <v>0.77513076960313931</v>
      </c>
      <c r="Y377" s="96">
        <f t="shared" si="101"/>
        <v>0.83377872049881663</v>
      </c>
      <c r="Z377" s="96">
        <f t="shared" si="105"/>
        <v>421.66455975432496</v>
      </c>
      <c r="AA377" s="97">
        <f t="shared" si="108"/>
        <v>-15.104559754324526</v>
      </c>
      <c r="AB377" s="97">
        <f t="shared" si="109"/>
        <v>254.89544024567567</v>
      </c>
      <c r="AC377" s="97">
        <f t="shared" si="110"/>
        <v>5282.5401925828201</v>
      </c>
      <c r="AD377" s="96"/>
      <c r="AE377" s="105">
        <f t="shared" si="102"/>
        <v>1.6645597543249551</v>
      </c>
    </row>
    <row r="378" spans="5:31" x14ac:dyDescent="0.35">
      <c r="E378" s="100">
        <f t="shared" si="111"/>
        <v>1.2611111111111519</v>
      </c>
      <c r="F378" s="5">
        <v>20</v>
      </c>
      <c r="G378" s="5">
        <f t="shared" si="106"/>
        <v>140</v>
      </c>
      <c r="H378" s="106">
        <f t="shared" si="106"/>
        <v>3.8194444444444443E-3</v>
      </c>
      <c r="I378" s="110">
        <f t="shared" si="103"/>
        <v>1.7687499999999998E-2</v>
      </c>
      <c r="J378" s="5">
        <v>1.05</v>
      </c>
      <c r="K378" s="5">
        <v>0</v>
      </c>
      <c r="L378" s="5">
        <v>0</v>
      </c>
      <c r="N378" s="5">
        <f t="shared" si="95"/>
        <v>140</v>
      </c>
      <c r="O378" s="97">
        <f t="shared" si="96"/>
        <v>181.81818181818184</v>
      </c>
      <c r="P378" s="5">
        <f t="shared" si="97"/>
        <v>1.03</v>
      </c>
      <c r="R378" s="96">
        <f t="shared" si="98"/>
        <v>4.1738118782419713</v>
      </c>
      <c r="S378" s="95">
        <f t="shared" si="99"/>
        <v>0.97484941678568049</v>
      </c>
      <c r="T378" s="96">
        <f t="shared" si="100"/>
        <v>60.099071555555561</v>
      </c>
      <c r="U378" s="97"/>
      <c r="V378" s="97">
        <f t="shared" si="104"/>
        <v>53.121242086716009</v>
      </c>
      <c r="W378" s="96">
        <f t="shared" si="112"/>
        <v>58.587544855294219</v>
      </c>
      <c r="X378" s="96">
        <f t="shared" si="107"/>
        <v>0.77451552556499081</v>
      </c>
      <c r="Y378" s="96">
        <f t="shared" si="101"/>
        <v>0.82683365463157665</v>
      </c>
      <c r="Z378" s="96">
        <f t="shared" si="105"/>
        <v>422.49139340895653</v>
      </c>
      <c r="AA378" s="97">
        <f t="shared" si="108"/>
        <v>-15.931393408956103</v>
      </c>
      <c r="AB378" s="97">
        <f t="shared" si="109"/>
        <v>254.0686065910441</v>
      </c>
      <c r="AC378" s="97">
        <f t="shared" si="110"/>
        <v>5296.5429518694582</v>
      </c>
      <c r="AD378" s="96"/>
      <c r="AE378" s="105">
        <f t="shared" si="102"/>
        <v>2.4913934089565259</v>
      </c>
    </row>
    <row r="379" spans="5:31" x14ac:dyDescent="0.35">
      <c r="E379" s="100">
        <f t="shared" si="111"/>
        <v>1.2618055555555965</v>
      </c>
      <c r="F379" s="5">
        <v>20</v>
      </c>
      <c r="G379" s="5">
        <f t="shared" si="106"/>
        <v>140</v>
      </c>
      <c r="H379" s="106">
        <f t="shared" si="106"/>
        <v>3.8194444444444443E-3</v>
      </c>
      <c r="I379" s="110">
        <f t="shared" si="103"/>
        <v>1.7687499999999998E-2</v>
      </c>
      <c r="J379" s="5">
        <v>1.05</v>
      </c>
      <c r="K379" s="5">
        <v>0</v>
      </c>
      <c r="L379" s="5">
        <v>0</v>
      </c>
      <c r="N379" s="5">
        <f t="shared" si="95"/>
        <v>140</v>
      </c>
      <c r="O379" s="97">
        <f t="shared" si="96"/>
        <v>181.81818181818184</v>
      </c>
      <c r="P379" s="5">
        <f t="shared" si="97"/>
        <v>1.03</v>
      </c>
      <c r="R379" s="96">
        <f t="shared" si="98"/>
        <v>4.1738118782419713</v>
      </c>
      <c r="S379" s="95">
        <f t="shared" si="99"/>
        <v>0.97471230269212494</v>
      </c>
      <c r="T379" s="96">
        <f t="shared" si="100"/>
        <v>60.099071555555561</v>
      </c>
      <c r="U379" s="97"/>
      <c r="V379" s="97">
        <f t="shared" si="104"/>
        <v>53.121242086716009</v>
      </c>
      <c r="W379" s="96">
        <f t="shared" si="112"/>
        <v>58.57930442557435</v>
      </c>
      <c r="X379" s="96">
        <f t="shared" si="107"/>
        <v>0.77390540628028626</v>
      </c>
      <c r="Y379" s="96">
        <f t="shared" si="101"/>
        <v>0.81994835098269803</v>
      </c>
      <c r="Z379" s="96">
        <f t="shared" si="105"/>
        <v>423.31134175993924</v>
      </c>
      <c r="AA379" s="97">
        <f t="shared" si="108"/>
        <v>-16.7513417599388</v>
      </c>
      <c r="AB379" s="97">
        <f t="shared" si="109"/>
        <v>253.24865824006142</v>
      </c>
      <c r="AC379" s="97">
        <f t="shared" si="110"/>
        <v>5310.5437416461255</v>
      </c>
      <c r="AD379" s="96"/>
      <c r="AE379" s="105">
        <f t="shared" si="102"/>
        <v>3.3113417599392392</v>
      </c>
    </row>
    <row r="380" spans="5:31" x14ac:dyDescent="0.35">
      <c r="E380" s="100">
        <f t="shared" si="111"/>
        <v>1.262500000000041</v>
      </c>
      <c r="F380" s="5">
        <v>20</v>
      </c>
      <c r="G380" s="5">
        <f t="shared" si="106"/>
        <v>140</v>
      </c>
      <c r="H380" s="106">
        <f t="shared" si="106"/>
        <v>3.8194444444444443E-3</v>
      </c>
      <c r="I380" s="110">
        <f t="shared" si="103"/>
        <v>1.7687499999999998E-2</v>
      </c>
      <c r="J380" s="5">
        <v>1.05</v>
      </c>
      <c r="K380" s="5">
        <v>0</v>
      </c>
      <c r="L380" s="5">
        <v>0</v>
      </c>
      <c r="N380" s="5">
        <f t="shared" si="95"/>
        <v>140</v>
      </c>
      <c r="O380" s="97">
        <f t="shared" si="96"/>
        <v>181.81818181818184</v>
      </c>
      <c r="P380" s="5">
        <f t="shared" si="97"/>
        <v>1.03</v>
      </c>
      <c r="R380" s="96">
        <f t="shared" si="98"/>
        <v>4.1738118782419713</v>
      </c>
      <c r="S380" s="95">
        <f t="shared" si="99"/>
        <v>0.97457633039071034</v>
      </c>
      <c r="T380" s="96">
        <f t="shared" si="100"/>
        <v>60.099071555555561</v>
      </c>
      <c r="U380" s="97"/>
      <c r="V380" s="97">
        <f t="shared" si="104"/>
        <v>53.121242086716009</v>
      </c>
      <c r="W380" s="96">
        <f t="shared" si="112"/>
        <v>58.571132616502055</v>
      </c>
      <c r="X380" s="96">
        <f t="shared" si="107"/>
        <v>0.77330036765057653</v>
      </c>
      <c r="Y380" s="96">
        <f t="shared" si="101"/>
        <v>0.81312226410990096</v>
      </c>
      <c r="Z380" s="96">
        <f t="shared" si="105"/>
        <v>424.12446402404913</v>
      </c>
      <c r="AA380" s="97">
        <f t="shared" si="108"/>
        <v>-17.5644640240487</v>
      </c>
      <c r="AB380" s="97">
        <f t="shared" si="109"/>
        <v>252.43553597595152</v>
      </c>
      <c r="AC380" s="97">
        <f t="shared" si="110"/>
        <v>5324.5425783135497</v>
      </c>
      <c r="AD380" s="96"/>
      <c r="AE380" s="105">
        <f t="shared" si="102"/>
        <v>4.1244640240491321</v>
      </c>
    </row>
    <row r="381" spans="5:31" x14ac:dyDescent="0.35">
      <c r="E381" s="100">
        <f t="shared" si="111"/>
        <v>1.2631944444444856</v>
      </c>
      <c r="F381" s="5">
        <v>20</v>
      </c>
      <c r="G381" s="5">
        <f t="shared" si="106"/>
        <v>140</v>
      </c>
      <c r="H381" s="106">
        <f t="shared" si="106"/>
        <v>3.8194444444444443E-3</v>
      </c>
      <c r="I381" s="110">
        <f t="shared" si="103"/>
        <v>1.7687499999999998E-2</v>
      </c>
      <c r="J381" s="5">
        <v>1.05</v>
      </c>
      <c r="K381" s="5">
        <v>0</v>
      </c>
      <c r="L381" s="5">
        <v>0</v>
      </c>
      <c r="N381" s="5">
        <f t="shared" si="95"/>
        <v>140</v>
      </c>
      <c r="O381" s="97">
        <f t="shared" si="96"/>
        <v>181.81818181818184</v>
      </c>
      <c r="P381" s="5">
        <f t="shared" si="97"/>
        <v>1.03</v>
      </c>
      <c r="R381" s="96">
        <f t="shared" si="98"/>
        <v>4.1738118782419713</v>
      </c>
      <c r="S381" s="95">
        <f t="shared" si="99"/>
        <v>0.97444149006149938</v>
      </c>
      <c r="T381" s="96">
        <f t="shared" si="100"/>
        <v>60.099071555555561</v>
      </c>
      <c r="U381" s="97"/>
      <c r="V381" s="97">
        <f t="shared" si="104"/>
        <v>53.121242086716009</v>
      </c>
      <c r="W381" s="96">
        <f t="shared" si="112"/>
        <v>58.563028837908234</v>
      </c>
      <c r="X381" s="96">
        <f t="shared" si="107"/>
        <v>0.77270036597989322</v>
      </c>
      <c r="Y381" s="96">
        <f t="shared" si="101"/>
        <v>0.80635485405435081</v>
      </c>
      <c r="Z381" s="96">
        <f t="shared" si="105"/>
        <v>424.93081887810348</v>
      </c>
      <c r="AA381" s="97">
        <f t="shared" si="108"/>
        <v>-18.370818878103051</v>
      </c>
      <c r="AB381" s="97">
        <f t="shared" si="109"/>
        <v>251.62918112189718</v>
      </c>
      <c r="AC381" s="97">
        <f t="shared" si="110"/>
        <v>5338.5394781314053</v>
      </c>
      <c r="AD381" s="96"/>
      <c r="AE381" s="105">
        <f t="shared" si="102"/>
        <v>4.9308188781034801</v>
      </c>
    </row>
    <row r="382" spans="5:31" x14ac:dyDescent="0.35">
      <c r="E382" s="100">
        <f t="shared" si="111"/>
        <v>1.2638888888889301</v>
      </c>
      <c r="F382" s="5">
        <v>20</v>
      </c>
      <c r="G382" s="5">
        <f t="shared" si="106"/>
        <v>140</v>
      </c>
      <c r="H382" s="106">
        <f t="shared" si="106"/>
        <v>3.8194444444444443E-3</v>
      </c>
      <c r="I382" s="110">
        <f t="shared" si="103"/>
        <v>1.7687499999999998E-2</v>
      </c>
      <c r="J382" s="5">
        <v>1.05</v>
      </c>
      <c r="K382" s="5">
        <v>0</v>
      </c>
      <c r="L382" s="5">
        <v>0</v>
      </c>
      <c r="N382" s="5">
        <f t="shared" si="95"/>
        <v>140</v>
      </c>
      <c r="O382" s="97">
        <f t="shared" si="96"/>
        <v>181.81818181818184</v>
      </c>
      <c r="P382" s="5">
        <f t="shared" si="97"/>
        <v>1.03</v>
      </c>
      <c r="R382" s="96">
        <f t="shared" si="98"/>
        <v>4.1738118782419713</v>
      </c>
      <c r="S382" s="95">
        <f t="shared" si="99"/>
        <v>0.97430777197409635</v>
      </c>
      <c r="T382" s="96">
        <f t="shared" si="100"/>
        <v>60.099071555555561</v>
      </c>
      <c r="U382" s="97"/>
      <c r="V382" s="97">
        <f t="shared" si="104"/>
        <v>53.121242086716009</v>
      </c>
      <c r="W382" s="96">
        <f t="shared" si="112"/>
        <v>58.554992505005124</v>
      </c>
      <c r="X382" s="96">
        <f t="shared" si="107"/>
        <v>0.77210535797070323</v>
      </c>
      <c r="Y382" s="96">
        <f t="shared" si="101"/>
        <v>0.79964558627750781</v>
      </c>
      <c r="Z382" s="96">
        <f t="shared" si="105"/>
        <v>425.73046446438099</v>
      </c>
      <c r="AA382" s="97">
        <f t="shared" si="108"/>
        <v>-19.170464464380558</v>
      </c>
      <c r="AB382" s="97">
        <f t="shared" si="109"/>
        <v>250.82953553561967</v>
      </c>
      <c r="AC382" s="97">
        <f t="shared" si="110"/>
        <v>5352.5344572196</v>
      </c>
      <c r="AD382" s="96"/>
      <c r="AE382" s="105">
        <f t="shared" si="102"/>
        <v>5.7304644643809866</v>
      </c>
    </row>
    <row r="383" spans="5:31" x14ac:dyDescent="0.35">
      <c r="E383" s="100">
        <f t="shared" si="111"/>
        <v>1.2645833333333747</v>
      </c>
      <c r="F383" s="5">
        <v>20</v>
      </c>
      <c r="G383" s="5">
        <f t="shared" si="106"/>
        <v>140</v>
      </c>
      <c r="H383" s="106">
        <f t="shared" si="106"/>
        <v>3.8194444444444443E-3</v>
      </c>
      <c r="I383" s="110">
        <f t="shared" si="103"/>
        <v>1.7687499999999998E-2</v>
      </c>
      <c r="J383" s="5">
        <v>1.05</v>
      </c>
      <c r="K383" s="5">
        <v>0</v>
      </c>
      <c r="L383" s="5">
        <v>0</v>
      </c>
      <c r="N383" s="5">
        <f t="shared" si="95"/>
        <v>140</v>
      </c>
      <c r="O383" s="97">
        <f t="shared" si="96"/>
        <v>181.81818181818184</v>
      </c>
      <c r="P383" s="5">
        <f t="shared" si="97"/>
        <v>1.03</v>
      </c>
      <c r="R383" s="96">
        <f t="shared" si="98"/>
        <v>4.1738118782419713</v>
      </c>
      <c r="S383" s="95">
        <f t="shared" si="99"/>
        <v>0.97417516648674829</v>
      </c>
      <c r="T383" s="96">
        <f t="shared" si="100"/>
        <v>60.099071555555561</v>
      </c>
      <c r="U383" s="97"/>
      <c r="V383" s="97">
        <f t="shared" si="104"/>
        <v>53.121242086716009</v>
      </c>
      <c r="W383" s="96">
        <f t="shared" si="112"/>
        <v>58.547023038332334</v>
      </c>
      <c r="X383" s="96">
        <f t="shared" si="107"/>
        <v>0.77151530071990815</v>
      </c>
      <c r="Y383" s="96">
        <f t="shared" si="101"/>
        <v>0.79299393159881248</v>
      </c>
      <c r="Z383" s="96">
        <f t="shared" si="105"/>
        <v>426.52345839597979</v>
      </c>
      <c r="AA383" s="97">
        <f t="shared" si="108"/>
        <v>-19.963458395979369</v>
      </c>
      <c r="AB383" s="97">
        <f t="shared" si="109"/>
        <v>250.03654160402087</v>
      </c>
      <c r="AC383" s="97">
        <f t="shared" si="110"/>
        <v>5366.5275315595454</v>
      </c>
      <c r="AD383" s="96"/>
      <c r="AE383" s="105">
        <f t="shared" si="102"/>
        <v>6.5234583959797874</v>
      </c>
    </row>
    <row r="384" spans="5:31" x14ac:dyDescent="0.35">
      <c r="E384" s="100">
        <f t="shared" si="111"/>
        <v>1.2652777777778192</v>
      </c>
      <c r="F384" s="5">
        <v>20</v>
      </c>
      <c r="G384" s="5">
        <f t="shared" si="106"/>
        <v>140</v>
      </c>
      <c r="H384" s="106">
        <f t="shared" si="106"/>
        <v>3.8194444444444443E-3</v>
      </c>
      <c r="I384" s="110">
        <f t="shared" si="103"/>
        <v>1.7687499999999998E-2</v>
      </c>
      <c r="J384" s="5">
        <v>1.05</v>
      </c>
      <c r="K384" s="5">
        <v>0</v>
      </c>
      <c r="L384" s="5">
        <v>0</v>
      </c>
      <c r="N384" s="5">
        <f t="shared" si="95"/>
        <v>140</v>
      </c>
      <c r="O384" s="97">
        <f t="shared" si="96"/>
        <v>181.81818181818184</v>
      </c>
      <c r="P384" s="5">
        <f t="shared" si="97"/>
        <v>1.03</v>
      </c>
      <c r="R384" s="96">
        <f t="shared" si="98"/>
        <v>4.1738118782419713</v>
      </c>
      <c r="S384" s="95">
        <f t="shared" si="99"/>
        <v>0.97404366404545673</v>
      </c>
      <c r="T384" s="96">
        <f t="shared" si="100"/>
        <v>60.099071555555561</v>
      </c>
      <c r="U384" s="97"/>
      <c r="V384" s="97">
        <f t="shared" si="104"/>
        <v>53.121242086716009</v>
      </c>
      <c r="W384" s="96">
        <f t="shared" si="112"/>
        <v>58.539119863703426</v>
      </c>
      <c r="X384" s="96">
        <f t="shared" si="107"/>
        <v>0.77093015171489132</v>
      </c>
      <c r="Y384" s="96">
        <f t="shared" si="101"/>
        <v>0.78639936613422257</v>
      </c>
      <c r="Z384" s="96">
        <f t="shared" si="105"/>
        <v>427.30985776211401</v>
      </c>
      <c r="AA384" s="97">
        <f t="shared" si="108"/>
        <v>-20.749857762113592</v>
      </c>
      <c r="AB384" s="97">
        <f t="shared" si="109"/>
        <v>249.25014223788665</v>
      </c>
      <c r="AC384" s="97">
        <f t="shared" si="110"/>
        <v>5380.5187169954206</v>
      </c>
      <c r="AD384" s="96"/>
      <c r="AE384" s="105">
        <f t="shared" si="102"/>
        <v>7.3098577621140066</v>
      </c>
    </row>
    <row r="385" spans="5:31" x14ac:dyDescent="0.35">
      <c r="E385" s="100">
        <f t="shared" si="111"/>
        <v>1.2659722222222638</v>
      </c>
      <c r="F385" s="5">
        <v>20</v>
      </c>
      <c r="G385" s="5">
        <f t="shared" si="106"/>
        <v>140</v>
      </c>
      <c r="H385" s="106">
        <f t="shared" si="106"/>
        <v>3.8194444444444443E-3</v>
      </c>
      <c r="I385" s="110">
        <f t="shared" si="103"/>
        <v>1.7687499999999998E-2</v>
      </c>
      <c r="J385" s="5">
        <v>1.05</v>
      </c>
      <c r="K385" s="5">
        <v>0</v>
      </c>
      <c r="L385" s="5">
        <v>0</v>
      </c>
      <c r="N385" s="5">
        <f t="shared" si="95"/>
        <v>140</v>
      </c>
      <c r="O385" s="97">
        <f t="shared" si="96"/>
        <v>181.81818181818184</v>
      </c>
      <c r="P385" s="5">
        <f t="shared" si="97"/>
        <v>1.03</v>
      </c>
      <c r="R385" s="96">
        <f t="shared" si="98"/>
        <v>4.1738118782419713</v>
      </c>
      <c r="S385" s="95">
        <f t="shared" si="99"/>
        <v>0.97391325518309824</v>
      </c>
      <c r="T385" s="96">
        <f t="shared" si="100"/>
        <v>60.099071555555561</v>
      </c>
      <c r="U385" s="97"/>
      <c r="V385" s="97">
        <f t="shared" si="104"/>
        <v>53.121242086716009</v>
      </c>
      <c r="W385" s="96">
        <f t="shared" si="112"/>
        <v>58.531282412153061</v>
      </c>
      <c r="X385" s="96">
        <f t="shared" si="107"/>
        <v>0.77034986882960932</v>
      </c>
      <c r="Y385" s="96">
        <f t="shared" si="101"/>
        <v>0.7798613712355662</v>
      </c>
      <c r="Z385" s="96">
        <f t="shared" si="105"/>
        <v>428.08971913334955</v>
      </c>
      <c r="AA385" s="97">
        <f t="shared" si="108"/>
        <v>-21.529719133349158</v>
      </c>
      <c r="AB385" s="97">
        <f t="shared" si="109"/>
        <v>248.47028086665108</v>
      </c>
      <c r="AC385" s="97">
        <f t="shared" si="110"/>
        <v>5394.5080292354187</v>
      </c>
      <c r="AD385" s="96"/>
      <c r="AE385" s="105">
        <f t="shared" si="102"/>
        <v>8.0897191333495471</v>
      </c>
    </row>
    <row r="386" spans="5:31" x14ac:dyDescent="0.35">
      <c r="E386" s="100">
        <f t="shared" si="111"/>
        <v>1.2666666666667084</v>
      </c>
      <c r="F386" s="5">
        <v>20</v>
      </c>
      <c r="G386" s="5">
        <f t="shared" si="106"/>
        <v>140</v>
      </c>
      <c r="H386" s="106">
        <f t="shared" si="106"/>
        <v>3.8194444444444443E-3</v>
      </c>
      <c r="I386" s="110">
        <f t="shared" si="103"/>
        <v>1.7687499999999998E-2</v>
      </c>
      <c r="J386" s="5">
        <v>1.05</v>
      </c>
      <c r="K386" s="5">
        <v>0</v>
      </c>
      <c r="L386" s="5">
        <v>0</v>
      </c>
      <c r="N386" s="5">
        <f t="shared" si="95"/>
        <v>140</v>
      </c>
      <c r="O386" s="97">
        <f t="shared" si="96"/>
        <v>181.81818181818184</v>
      </c>
      <c r="P386" s="5">
        <f t="shared" si="97"/>
        <v>1.03</v>
      </c>
      <c r="R386" s="96">
        <f t="shared" si="98"/>
        <v>4.1738118782419713</v>
      </c>
      <c r="S386" s="95">
        <f t="shared" si="99"/>
        <v>0.97378393051855794</v>
      </c>
      <c r="T386" s="96">
        <f t="shared" si="100"/>
        <v>60.099071555555561</v>
      </c>
      <c r="U386" s="97"/>
      <c r="V386" s="97">
        <f t="shared" si="104"/>
        <v>53.121242086716009</v>
      </c>
      <c r="W386" s="96">
        <f t="shared" si="112"/>
        <v>58.523510119884961</v>
      </c>
      <c r="X386" s="96">
        <f t="shared" si="107"/>
        <v>0.76977441032072824</v>
      </c>
      <c r="Y386" s="96">
        <f t="shared" si="101"/>
        <v>0.7733794334307097</v>
      </c>
      <c r="Z386" s="96">
        <f t="shared" si="105"/>
        <v>428.86309856678025</v>
      </c>
      <c r="AA386" s="97">
        <f t="shared" si="108"/>
        <v>-22.303098566779866</v>
      </c>
      <c r="AB386" s="97">
        <f t="shared" si="109"/>
        <v>247.69690143322038</v>
      </c>
      <c r="AC386" s="97">
        <f t="shared" si="110"/>
        <v>5408.495483852982</v>
      </c>
      <c r="AD386" s="96"/>
      <c r="AE386" s="105">
        <f t="shared" si="102"/>
        <v>8.863098566780252</v>
      </c>
    </row>
    <row r="387" spans="5:31" x14ac:dyDescent="0.35">
      <c r="E387" s="100">
        <f t="shared" si="111"/>
        <v>1.2673611111111529</v>
      </c>
      <c r="F387" s="5">
        <v>20</v>
      </c>
      <c r="G387" s="5">
        <f t="shared" si="106"/>
        <v>140</v>
      </c>
      <c r="H387" s="106">
        <f t="shared" si="106"/>
        <v>3.8194444444444443E-3</v>
      </c>
      <c r="I387" s="110">
        <f t="shared" si="103"/>
        <v>1.7687499999999998E-2</v>
      </c>
      <c r="J387" s="5">
        <v>1.05</v>
      </c>
      <c r="K387" s="5">
        <v>0</v>
      </c>
      <c r="L387" s="5">
        <v>0</v>
      </c>
      <c r="N387" s="5">
        <f t="shared" ref="N387:N450" si="113">G387*(1-0.0015*MAX(0,F387-24))*1</f>
        <v>140</v>
      </c>
      <c r="O387" s="97">
        <f t="shared" ref="O387:O450" si="114">1/((MINUTE(H387)*60+SECOND(H387))/60/1000)</f>
        <v>181.81818181818184</v>
      </c>
      <c r="P387" s="5">
        <f t="shared" ref="P387:P450" si="115">1+MIN(0.25, IF(HOUR(E387)&lt;12,0.005*HOUR(E387), IF(HOUR(E387)&lt;24,MIN(0.1,0.005*HOUR(E387)+0.0025*HOUR(E387)),0.1))  +  (K387/300)*0.01  +  (L387/300)*0.02)</f>
        <v>1.03</v>
      </c>
      <c r="R387" s="96">
        <f t="shared" ref="R387:R450" si="116">(155.4*POWER(I387,5) - 30.4*POWER(I387,4) - 43.3*POWER(I387,3) + 46.3*POWER(I387,2) + 19.5*I387 + $C$31)*J387*P387</f>
        <v>4.1738118782419713</v>
      </c>
      <c r="S387" s="95">
        <f t="shared" ref="S387:S450" si="117">(1.106*X387+3.941)/(1.106*MAX(0.7,(0.7+0.3*(G387-$C$16)/($C$17-$C$16)))+3.941)</f>
        <v>0.97365568075586939</v>
      </c>
      <c r="T387" s="96">
        <f t="shared" ref="T387:T450" si="118">IF($C$12=1, -95.7735+(0.634*N387)+(0.404*$C$19)+(0.394*$C$14)+(0.271*$C$13), -59.3954+(0.45*N387)+(0.38*$C$19)+(0.103*$C$14)+(0.274*$C$13))+$C$30</f>
        <v>60.099071555555561</v>
      </c>
      <c r="U387" s="97"/>
      <c r="V387" s="97">
        <f t="shared" si="104"/>
        <v>53.121242086716009</v>
      </c>
      <c r="W387" s="96">
        <f t="shared" si="112"/>
        <v>58.515802428220155</v>
      </c>
      <c r="X387" s="96">
        <f t="shared" si="107"/>
        <v>0.76920373482380477</v>
      </c>
      <c r="Y387" s="96">
        <f t="shared" ref="Y387:Y450" si="119">(MAX(V387,W387) * (X387-0.7)/0.3)/17.6</f>
        <v>0.76695304436452683</v>
      </c>
      <c r="Z387" s="96">
        <f t="shared" si="105"/>
        <v>429.63005161114478</v>
      </c>
      <c r="AA387" s="97">
        <f t="shared" si="108"/>
        <v>-23.070051611144393</v>
      </c>
      <c r="AB387" s="97">
        <f t="shared" si="109"/>
        <v>246.92994838885585</v>
      </c>
      <c r="AC387" s="97">
        <f t="shared" si="110"/>
        <v>5422.4810962880247</v>
      </c>
      <c r="AD387" s="96"/>
      <c r="AE387" s="105">
        <f t="shared" ref="AE387:AE450" si="120">MOD(Z387,30)</f>
        <v>9.6300516111447791</v>
      </c>
    </row>
    <row r="388" spans="5:31" x14ac:dyDescent="0.35">
      <c r="E388" s="100">
        <f t="shared" si="111"/>
        <v>1.2680555555555975</v>
      </c>
      <c r="F388" s="5">
        <v>20</v>
      </c>
      <c r="G388" s="5">
        <f t="shared" si="106"/>
        <v>140</v>
      </c>
      <c r="H388" s="106">
        <f t="shared" si="106"/>
        <v>3.8194444444444443E-3</v>
      </c>
      <c r="I388" s="110">
        <f t="shared" ref="I388:I451" si="121">(140+143)/16000</f>
        <v>1.7687499999999998E-2</v>
      </c>
      <c r="J388" s="5">
        <v>1.05</v>
      </c>
      <c r="K388" s="5">
        <v>0</v>
      </c>
      <c r="L388" s="5">
        <v>0</v>
      </c>
      <c r="N388" s="5">
        <f t="shared" si="113"/>
        <v>140</v>
      </c>
      <c r="O388" s="97">
        <f t="shared" si="114"/>
        <v>181.81818181818184</v>
      </c>
      <c r="P388" s="5">
        <f t="shared" si="115"/>
        <v>1.03</v>
      </c>
      <c r="R388" s="96">
        <f t="shared" si="116"/>
        <v>4.1738118782419713</v>
      </c>
      <c r="S388" s="95">
        <f t="shared" si="117"/>
        <v>0.97352849668336761</v>
      </c>
      <c r="T388" s="96">
        <f t="shared" si="118"/>
        <v>60.099071555555561</v>
      </c>
      <c r="U388" s="97"/>
      <c r="V388" s="97">
        <f t="shared" ref="V388:V451" si="122">O388*R388*$C$14/1000</f>
        <v>53.121242086716009</v>
      </c>
      <c r="W388" s="96">
        <f t="shared" si="112"/>
        <v>58.508158783546143</v>
      </c>
      <c r="X388" s="96">
        <f t="shared" si="107"/>
        <v>0.76863780134950976</v>
      </c>
      <c r="Y388" s="96">
        <f t="shared" si="119"/>
        <v>0.76058170074064724</v>
      </c>
      <c r="Z388" s="96">
        <f t="shared" ref="Z388:Z451" si="123">Z387+Y388</f>
        <v>430.39063331188544</v>
      </c>
      <c r="AA388" s="97">
        <f t="shared" si="108"/>
        <v>-23.830633311885041</v>
      </c>
      <c r="AB388" s="97">
        <f t="shared" si="109"/>
        <v>246.16936668811519</v>
      </c>
      <c r="AC388" s="97">
        <f t="shared" si="110"/>
        <v>5436.4648818481455</v>
      </c>
      <c r="AD388" s="96"/>
      <c r="AE388" s="105">
        <f t="shared" si="120"/>
        <v>10.390633311885438</v>
      </c>
    </row>
    <row r="389" spans="5:31" x14ac:dyDescent="0.35">
      <c r="E389" s="100">
        <f t="shared" si="111"/>
        <v>1.268750000000042</v>
      </c>
      <c r="F389" s="5">
        <v>20</v>
      </c>
      <c r="G389" s="5">
        <f t="shared" ref="G389:H452" si="124">G388</f>
        <v>140</v>
      </c>
      <c r="H389" s="106">
        <f t="shared" si="124"/>
        <v>3.8194444444444443E-3</v>
      </c>
      <c r="I389" s="110">
        <f t="shared" si="121"/>
        <v>1.7687499999999998E-2</v>
      </c>
      <c r="J389" s="5">
        <v>1.05</v>
      </c>
      <c r="K389" s="5">
        <v>0</v>
      </c>
      <c r="L389" s="5">
        <v>0</v>
      </c>
      <c r="N389" s="5">
        <f t="shared" si="113"/>
        <v>140</v>
      </c>
      <c r="O389" s="97">
        <f t="shared" si="114"/>
        <v>181.81818181818184</v>
      </c>
      <c r="P389" s="5">
        <f t="shared" si="115"/>
        <v>1.03</v>
      </c>
      <c r="R389" s="96">
        <f t="shared" si="116"/>
        <v>4.1738118782419713</v>
      </c>
      <c r="S389" s="95">
        <f t="shared" si="117"/>
        <v>0.9734023691728485</v>
      </c>
      <c r="T389" s="96">
        <f t="shared" si="118"/>
        <v>60.099071555555561</v>
      </c>
      <c r="U389" s="97"/>
      <c r="V389" s="97">
        <f t="shared" si="122"/>
        <v>53.121242086716009</v>
      </c>
      <c r="W389" s="96">
        <f t="shared" si="112"/>
        <v>58.500578637266329</v>
      </c>
      <c r="X389" s="96">
        <f t="shared" ref="X389:X452" si="125">MAX(0.7, (0.7+0.3*(G389-$C$16)/($C$17-$C$16)) - 0.3*($C$29-AB388)/$C$29)</f>
        <v>0.76807656927989598</v>
      </c>
      <c r="Y389" s="96">
        <f t="shared" si="119"/>
        <v>0.75426490426398984</v>
      </c>
      <c r="Z389" s="96">
        <f t="shared" si="123"/>
        <v>431.14489821614944</v>
      </c>
      <c r="AA389" s="97">
        <f t="shared" ref="AA389:AA452" si="126">AA388-Y389</f>
        <v>-24.584898216149032</v>
      </c>
      <c r="AB389" s="97">
        <f t="shared" ref="AB389:AB452" si="127">AB388-Y389+IF(MOD(60*HOUR(E389)+MINUTE(E389),MINUTE($C$35))=0,$C$34,0)</f>
        <v>245.41510178385121</v>
      </c>
      <c r="AC389" s="97">
        <f t="shared" ref="AC389:AC452" si="128">MAX(V389,W389)/4.184+AC388</f>
        <v>5450.4468557098253</v>
      </c>
      <c r="AD389" s="96"/>
      <c r="AE389" s="105">
        <f t="shared" si="120"/>
        <v>11.144898216149443</v>
      </c>
    </row>
    <row r="390" spans="5:31" x14ac:dyDescent="0.35">
      <c r="E390" s="100">
        <f t="shared" si="111"/>
        <v>1.2694444444444866</v>
      </c>
      <c r="F390" s="5">
        <v>20</v>
      </c>
      <c r="G390" s="5">
        <f t="shared" si="124"/>
        <v>140</v>
      </c>
      <c r="H390" s="106">
        <f t="shared" si="124"/>
        <v>3.8194444444444443E-3</v>
      </c>
      <c r="I390" s="110">
        <f t="shared" si="121"/>
        <v>1.7687499999999998E-2</v>
      </c>
      <c r="J390" s="5">
        <v>1.05</v>
      </c>
      <c r="K390" s="5">
        <v>0</v>
      </c>
      <c r="L390" s="5">
        <v>0</v>
      </c>
      <c r="N390" s="5">
        <f t="shared" si="113"/>
        <v>140</v>
      </c>
      <c r="O390" s="97">
        <f t="shared" si="114"/>
        <v>181.81818181818184</v>
      </c>
      <c r="P390" s="5">
        <f t="shared" si="115"/>
        <v>1.03</v>
      </c>
      <c r="R390" s="96">
        <f t="shared" si="116"/>
        <v>4.1738118782419713</v>
      </c>
      <c r="S390" s="95">
        <f t="shared" si="117"/>
        <v>0.97327728917874134</v>
      </c>
      <c r="T390" s="96">
        <f t="shared" si="118"/>
        <v>60.099071555555561</v>
      </c>
      <c r="U390" s="97"/>
      <c r="V390" s="97">
        <f t="shared" si="122"/>
        <v>53.121242086716009</v>
      </c>
      <c r="W390" s="96">
        <f t="shared" si="112"/>
        <v>58.493061445750321</v>
      </c>
      <c r="X390" s="96">
        <f t="shared" si="125"/>
        <v>0.76751999836470708</v>
      </c>
      <c r="Y390" s="96">
        <f t="shared" si="119"/>
        <v>0.7480021615840482</v>
      </c>
      <c r="Z390" s="96">
        <f t="shared" si="123"/>
        <v>431.8929003777335</v>
      </c>
      <c r="AA390" s="97">
        <f t="shared" si="126"/>
        <v>-25.332900377733079</v>
      </c>
      <c r="AB390" s="97">
        <f t="shared" si="127"/>
        <v>244.66709962226716</v>
      </c>
      <c r="AC390" s="97">
        <f t="shared" si="128"/>
        <v>5464.4270329196124</v>
      </c>
      <c r="AD390" s="96"/>
      <c r="AE390" s="105">
        <f t="shared" si="120"/>
        <v>11.892900377733497</v>
      </c>
    </row>
    <row r="391" spans="5:31" x14ac:dyDescent="0.35">
      <c r="E391" s="100">
        <f t="shared" si="111"/>
        <v>1.2701388888889311</v>
      </c>
      <c r="F391" s="5">
        <v>20</v>
      </c>
      <c r="G391" s="5">
        <f t="shared" si="124"/>
        <v>140</v>
      </c>
      <c r="H391" s="106">
        <f t="shared" si="124"/>
        <v>3.8194444444444443E-3</v>
      </c>
      <c r="I391" s="110">
        <f t="shared" si="121"/>
        <v>1.7687499999999998E-2</v>
      </c>
      <c r="J391" s="5">
        <v>1.05</v>
      </c>
      <c r="K391" s="5">
        <v>0</v>
      </c>
      <c r="L391" s="5">
        <v>0</v>
      </c>
      <c r="N391" s="5">
        <f t="shared" si="113"/>
        <v>140</v>
      </c>
      <c r="O391" s="97">
        <f t="shared" si="114"/>
        <v>181.81818181818184</v>
      </c>
      <c r="P391" s="5">
        <f t="shared" si="115"/>
        <v>1.03</v>
      </c>
      <c r="R391" s="96">
        <f t="shared" si="116"/>
        <v>4.1738118782419713</v>
      </c>
      <c r="S391" s="95">
        <f t="shared" si="117"/>
        <v>0.9731532477372874</v>
      </c>
      <c r="T391" s="96">
        <f t="shared" si="118"/>
        <v>60.099071555555561</v>
      </c>
      <c r="U391" s="97"/>
      <c r="V391" s="97">
        <f t="shared" si="122"/>
        <v>53.121242086716009</v>
      </c>
      <c r="W391" s="96">
        <f t="shared" si="112"/>
        <v>58.485606670284525</v>
      </c>
      <c r="X391" s="96">
        <f t="shared" si="125"/>
        <v>0.7669680487177295</v>
      </c>
      <c r="Y391" s="96">
        <f t="shared" si="119"/>
        <v>0.74179298423893592</v>
      </c>
      <c r="Z391" s="96">
        <f t="shared" si="123"/>
        <v>432.63469336197244</v>
      </c>
      <c r="AA391" s="97">
        <f t="shared" si="126"/>
        <v>-26.074693361972017</v>
      </c>
      <c r="AB391" s="97">
        <f t="shared" si="127"/>
        <v>243.92530663802822</v>
      </c>
      <c r="AC391" s="97">
        <f t="shared" si="128"/>
        <v>5478.4054283953019</v>
      </c>
      <c r="AD391" s="96"/>
      <c r="AE391" s="105">
        <f t="shared" si="120"/>
        <v>12.634693361972438</v>
      </c>
    </row>
    <row r="392" spans="5:31" x14ac:dyDescent="0.35">
      <c r="E392" s="100">
        <f t="shared" si="111"/>
        <v>1.2708333333333757</v>
      </c>
      <c r="F392" s="5">
        <v>20</v>
      </c>
      <c r="G392" s="5">
        <f t="shared" si="124"/>
        <v>140</v>
      </c>
      <c r="H392" s="106">
        <f t="shared" si="124"/>
        <v>3.8194444444444443E-3</v>
      </c>
      <c r="I392" s="110">
        <f t="shared" si="121"/>
        <v>1.7687499999999998E-2</v>
      </c>
      <c r="J392" s="5">
        <v>1.05</v>
      </c>
      <c r="K392" s="5">
        <v>0</v>
      </c>
      <c r="L392" s="5">
        <v>0</v>
      </c>
      <c r="N392" s="5">
        <f t="shared" si="113"/>
        <v>140</v>
      </c>
      <c r="O392" s="97">
        <f t="shared" si="114"/>
        <v>181.81818181818184</v>
      </c>
      <c r="P392" s="5">
        <f t="shared" si="115"/>
        <v>1.03</v>
      </c>
      <c r="R392" s="96">
        <f t="shared" si="116"/>
        <v>4.1738118782419713</v>
      </c>
      <c r="S392" s="95">
        <f t="shared" si="117"/>
        <v>0.9730302359657298</v>
      </c>
      <c r="T392" s="96">
        <f t="shared" si="118"/>
        <v>60.099071555555561</v>
      </c>
      <c r="U392" s="97"/>
      <c r="V392" s="97">
        <f t="shared" si="122"/>
        <v>53.121242086716009</v>
      </c>
      <c r="W392" s="96">
        <f t="shared" si="112"/>
        <v>58.478213777023505</v>
      </c>
      <c r="X392" s="96">
        <f t="shared" si="125"/>
        <v>0.76642068081318482</v>
      </c>
      <c r="Y392" s="96">
        <f t="shared" si="119"/>
        <v>0.7356368886001643</v>
      </c>
      <c r="Z392" s="96">
        <f t="shared" si="123"/>
        <v>433.37033025057258</v>
      </c>
      <c r="AA392" s="97">
        <f t="shared" si="126"/>
        <v>-26.810330250572182</v>
      </c>
      <c r="AB392" s="97">
        <f t="shared" si="127"/>
        <v>243.18966974942805</v>
      </c>
      <c r="AC392" s="97">
        <f t="shared" si="128"/>
        <v>5492.3820569270956</v>
      </c>
      <c r="AD392" s="96"/>
      <c r="AE392" s="105">
        <f t="shared" si="120"/>
        <v>13.370330250572579</v>
      </c>
    </row>
    <row r="393" spans="5:31" x14ac:dyDescent="0.35">
      <c r="E393" s="100">
        <f t="shared" si="111"/>
        <v>1.2715277777778202</v>
      </c>
      <c r="F393" s="5">
        <v>20</v>
      </c>
      <c r="G393" s="5">
        <f t="shared" si="124"/>
        <v>140</v>
      </c>
      <c r="H393" s="106">
        <f t="shared" si="124"/>
        <v>3.8194444444444443E-3</v>
      </c>
      <c r="I393" s="110">
        <f t="shared" si="121"/>
        <v>1.7687499999999998E-2</v>
      </c>
      <c r="J393" s="5">
        <v>1.05</v>
      </c>
      <c r="K393" s="5">
        <v>0</v>
      </c>
      <c r="L393" s="5">
        <v>0</v>
      </c>
      <c r="N393" s="5">
        <f t="shared" si="113"/>
        <v>140</v>
      </c>
      <c r="O393" s="97">
        <f t="shared" si="114"/>
        <v>181.81818181818184</v>
      </c>
      <c r="P393" s="5">
        <f t="shared" si="115"/>
        <v>1.03</v>
      </c>
      <c r="R393" s="96">
        <f t="shared" si="116"/>
        <v>4.1738118782419713</v>
      </c>
      <c r="S393" s="95">
        <f t="shared" si="117"/>
        <v>0.97290824506151163</v>
      </c>
      <c r="T393" s="96">
        <f t="shared" si="118"/>
        <v>60.099071555555561</v>
      </c>
      <c r="U393" s="97"/>
      <c r="V393" s="97">
        <f t="shared" si="122"/>
        <v>53.121242086716009</v>
      </c>
      <c r="W393" s="96">
        <f t="shared" si="112"/>
        <v>58.470882236941776</v>
      </c>
      <c r="X393" s="96">
        <f t="shared" si="125"/>
        <v>0.76587785548216347</v>
      </c>
      <c r="Y393" s="96">
        <f t="shared" si="119"/>
        <v>0.72953339581815368</v>
      </c>
      <c r="Z393" s="96">
        <f t="shared" si="123"/>
        <v>434.09986364639076</v>
      </c>
      <c r="AA393" s="97">
        <f t="shared" si="126"/>
        <v>-27.539863646390337</v>
      </c>
      <c r="AB393" s="97">
        <f t="shared" si="127"/>
        <v>242.4601363536099</v>
      </c>
      <c r="AC393" s="97">
        <f t="shared" si="128"/>
        <v>5506.3569331787548</v>
      </c>
      <c r="AD393" s="96"/>
      <c r="AE393" s="105">
        <f t="shared" si="120"/>
        <v>14.099863646390759</v>
      </c>
    </row>
    <row r="394" spans="5:31" x14ac:dyDescent="0.35">
      <c r="E394" s="100">
        <f t="shared" si="111"/>
        <v>1.2722222222222648</v>
      </c>
      <c r="F394" s="5">
        <v>20</v>
      </c>
      <c r="G394" s="5">
        <f t="shared" si="124"/>
        <v>140</v>
      </c>
      <c r="H394" s="106">
        <f t="shared" si="124"/>
        <v>3.8194444444444443E-3</v>
      </c>
      <c r="I394" s="110">
        <f t="shared" si="121"/>
        <v>1.7687499999999998E-2</v>
      </c>
      <c r="J394" s="5">
        <v>1.05</v>
      </c>
      <c r="K394" s="5">
        <v>0</v>
      </c>
      <c r="L394" s="5">
        <v>0</v>
      </c>
      <c r="N394" s="5">
        <f t="shared" si="113"/>
        <v>140</v>
      </c>
      <c r="O394" s="97">
        <f t="shared" si="114"/>
        <v>181.81818181818184</v>
      </c>
      <c r="P394" s="5">
        <f t="shared" si="115"/>
        <v>1.03</v>
      </c>
      <c r="R394" s="96">
        <f t="shared" si="116"/>
        <v>4.1738118782419713</v>
      </c>
      <c r="S394" s="95">
        <f t="shared" si="117"/>
        <v>0.97278726630148438</v>
      </c>
      <c r="T394" s="96">
        <f t="shared" si="118"/>
        <v>60.099071555555561</v>
      </c>
      <c r="U394" s="97"/>
      <c r="V394" s="97">
        <f t="shared" si="122"/>
        <v>53.121242086716009</v>
      </c>
      <c r="W394" s="96">
        <f t="shared" si="112"/>
        <v>58.463611525786192</v>
      </c>
      <c r="X394" s="96">
        <f t="shared" si="125"/>
        <v>0.76533953390909815</v>
      </c>
      <c r="Y394" s="96">
        <f t="shared" si="119"/>
        <v>0.72348203176845649</v>
      </c>
      <c r="Z394" s="96">
        <f t="shared" si="123"/>
        <v>434.82334567815923</v>
      </c>
      <c r="AA394" s="97">
        <f t="shared" si="126"/>
        <v>-28.263345678158792</v>
      </c>
      <c r="AB394" s="97">
        <f t="shared" si="127"/>
        <v>241.73665432184143</v>
      </c>
      <c r="AC394" s="97">
        <f t="shared" si="128"/>
        <v>5520.3300716887416</v>
      </c>
      <c r="AD394" s="96"/>
      <c r="AE394" s="105">
        <f t="shared" si="120"/>
        <v>14.823345678159228</v>
      </c>
    </row>
    <row r="395" spans="5:31" x14ac:dyDescent="0.35">
      <c r="E395" s="100">
        <f t="shared" si="111"/>
        <v>1.2729166666667093</v>
      </c>
      <c r="F395" s="5">
        <v>20</v>
      </c>
      <c r="G395" s="5">
        <f t="shared" si="124"/>
        <v>140</v>
      </c>
      <c r="H395" s="106">
        <f t="shared" si="124"/>
        <v>3.8194444444444443E-3</v>
      </c>
      <c r="I395" s="110">
        <f t="shared" si="121"/>
        <v>1.7687499999999998E-2</v>
      </c>
      <c r="J395" s="5">
        <v>1.05</v>
      </c>
      <c r="K395" s="5">
        <v>0</v>
      </c>
      <c r="L395" s="5">
        <v>0</v>
      </c>
      <c r="N395" s="5">
        <f t="shared" si="113"/>
        <v>140</v>
      </c>
      <c r="O395" s="97">
        <f t="shared" si="114"/>
        <v>181.81818181818184</v>
      </c>
      <c r="P395" s="5">
        <f t="shared" si="115"/>
        <v>1.03</v>
      </c>
      <c r="R395" s="96">
        <f t="shared" si="116"/>
        <v>4.1738118782419713</v>
      </c>
      <c r="S395" s="95">
        <f t="shared" si="117"/>
        <v>0.97266729104112348</v>
      </c>
      <c r="T395" s="96">
        <f t="shared" si="118"/>
        <v>60.099071555555561</v>
      </c>
      <c r="U395" s="97"/>
      <c r="V395" s="97">
        <f t="shared" si="122"/>
        <v>53.121242086716009</v>
      </c>
      <c r="W395" s="96">
        <f t="shared" si="112"/>
        <v>58.456401124028865</v>
      </c>
      <c r="X395" s="96">
        <f t="shared" si="125"/>
        <v>0.76480567762827723</v>
      </c>
      <c r="Y395" s="96">
        <f t="shared" si="119"/>
        <v>0.7174823269986893</v>
      </c>
      <c r="Z395" s="96">
        <f t="shared" si="123"/>
        <v>435.54082800515789</v>
      </c>
      <c r="AA395" s="97">
        <f t="shared" si="126"/>
        <v>-28.98082800515748</v>
      </c>
      <c r="AB395" s="97">
        <f t="shared" si="127"/>
        <v>241.01917199484274</v>
      </c>
      <c r="AC395" s="97">
        <f t="shared" si="128"/>
        <v>5534.301486871349</v>
      </c>
      <c r="AD395" s="96"/>
      <c r="AE395" s="105">
        <f t="shared" si="120"/>
        <v>15.540828005157891</v>
      </c>
    </row>
    <row r="396" spans="5:31" x14ac:dyDescent="0.35">
      <c r="E396" s="100">
        <f t="shared" si="111"/>
        <v>1.2736111111111539</v>
      </c>
      <c r="F396" s="5">
        <v>20</v>
      </c>
      <c r="G396" s="5">
        <f t="shared" si="124"/>
        <v>140</v>
      </c>
      <c r="H396" s="106">
        <f t="shared" si="124"/>
        <v>3.8194444444444443E-3</v>
      </c>
      <c r="I396" s="110">
        <f t="shared" si="121"/>
        <v>1.7687499999999998E-2</v>
      </c>
      <c r="J396" s="5">
        <v>1.05</v>
      </c>
      <c r="K396" s="5">
        <v>0</v>
      </c>
      <c r="L396" s="5">
        <v>0</v>
      </c>
      <c r="N396" s="5">
        <f t="shared" si="113"/>
        <v>140</v>
      </c>
      <c r="O396" s="97">
        <f t="shared" si="114"/>
        <v>181.81818181818184</v>
      </c>
      <c r="P396" s="5">
        <f t="shared" si="115"/>
        <v>1.03</v>
      </c>
      <c r="R396" s="96">
        <f t="shared" si="116"/>
        <v>4.1738118782419713</v>
      </c>
      <c r="S396" s="95">
        <f t="shared" si="117"/>
        <v>0.97254831071375358</v>
      </c>
      <c r="T396" s="96">
        <f t="shared" si="118"/>
        <v>60.099071555555561</v>
      </c>
      <c r="U396" s="97"/>
      <c r="V396" s="97">
        <f t="shared" si="122"/>
        <v>53.121242086716009</v>
      </c>
      <c r="W396" s="96">
        <f t="shared" si="112"/>
        <v>58.449250516820562</v>
      </c>
      <c r="X396" s="96">
        <f t="shared" si="125"/>
        <v>0.76427624852039744</v>
      </c>
      <c r="Y396" s="96">
        <f t="shared" si="119"/>
        <v>0.71153381667616089</v>
      </c>
      <c r="Z396" s="96">
        <f t="shared" si="123"/>
        <v>436.25236182183403</v>
      </c>
      <c r="AA396" s="97">
        <f t="shared" si="126"/>
        <v>-29.692361821833643</v>
      </c>
      <c r="AB396" s="97">
        <f t="shared" si="127"/>
        <v>240.30763817816657</v>
      </c>
      <c r="AC396" s="97">
        <f t="shared" si="128"/>
        <v>5548.2711930178166</v>
      </c>
      <c r="AD396" s="96"/>
      <c r="AE396" s="105">
        <f t="shared" si="120"/>
        <v>16.252361821834029</v>
      </c>
    </row>
    <row r="397" spans="5:31" x14ac:dyDescent="0.35">
      <c r="E397" s="100">
        <f t="shared" si="111"/>
        <v>1.2743055555555984</v>
      </c>
      <c r="F397" s="5">
        <v>20</v>
      </c>
      <c r="G397" s="5">
        <f t="shared" si="124"/>
        <v>140</v>
      </c>
      <c r="H397" s="106">
        <f t="shared" si="124"/>
        <v>3.8194444444444443E-3</v>
      </c>
      <c r="I397" s="110">
        <f t="shared" si="121"/>
        <v>1.7687499999999998E-2</v>
      </c>
      <c r="J397" s="5">
        <v>1.05</v>
      </c>
      <c r="K397" s="5">
        <v>0</v>
      </c>
      <c r="L397" s="5">
        <v>0</v>
      </c>
      <c r="N397" s="5">
        <f t="shared" si="113"/>
        <v>140</v>
      </c>
      <c r="O397" s="97">
        <f t="shared" si="114"/>
        <v>181.81818181818184</v>
      </c>
      <c r="P397" s="5">
        <f t="shared" si="115"/>
        <v>1.03</v>
      </c>
      <c r="R397" s="96">
        <f t="shared" si="116"/>
        <v>4.1738118782419713</v>
      </c>
      <c r="S397" s="95">
        <f t="shared" si="117"/>
        <v>0.97243031682978298</v>
      </c>
      <c r="T397" s="96">
        <f t="shared" si="118"/>
        <v>60.099071555555561</v>
      </c>
      <c r="U397" s="97"/>
      <c r="V397" s="97">
        <f t="shared" si="122"/>
        <v>53.121242086716009</v>
      </c>
      <c r="W397" s="96">
        <f t="shared" si="112"/>
        <v>58.44215919394469</v>
      </c>
      <c r="X397" s="96">
        <f t="shared" si="125"/>
        <v>0.7637512088091547</v>
      </c>
      <c r="Y397" s="96">
        <f t="shared" si="119"/>
        <v>0.70563604053618012</v>
      </c>
      <c r="Z397" s="96">
        <f t="shared" si="123"/>
        <v>436.95799786237023</v>
      </c>
      <c r="AA397" s="97">
        <f t="shared" si="126"/>
        <v>-30.397997862369824</v>
      </c>
      <c r="AB397" s="97">
        <f t="shared" si="127"/>
        <v>239.60200213763039</v>
      </c>
      <c r="AC397" s="97">
        <f t="shared" si="128"/>
        <v>5562.2392042974398</v>
      </c>
      <c r="AD397" s="96"/>
      <c r="AE397" s="105">
        <f t="shared" si="120"/>
        <v>16.957997862370235</v>
      </c>
    </row>
    <row r="398" spans="5:31" x14ac:dyDescent="0.35">
      <c r="E398" s="100">
        <f t="shared" si="111"/>
        <v>1.275000000000043</v>
      </c>
      <c r="F398" s="5">
        <v>20</v>
      </c>
      <c r="G398" s="5">
        <f t="shared" si="124"/>
        <v>140</v>
      </c>
      <c r="H398" s="106">
        <f t="shared" si="124"/>
        <v>3.8194444444444443E-3</v>
      </c>
      <c r="I398" s="110">
        <f t="shared" si="121"/>
        <v>1.7687499999999998E-2</v>
      </c>
      <c r="J398" s="5">
        <v>1.05</v>
      </c>
      <c r="K398" s="5">
        <v>0</v>
      </c>
      <c r="L398" s="5">
        <v>0</v>
      </c>
      <c r="N398" s="5">
        <f t="shared" si="113"/>
        <v>140</v>
      </c>
      <c r="O398" s="97">
        <f t="shared" si="114"/>
        <v>181.81818181818184</v>
      </c>
      <c r="P398" s="5">
        <f t="shared" si="115"/>
        <v>1.03</v>
      </c>
      <c r="R398" s="96">
        <f t="shared" si="116"/>
        <v>4.1738118782419713</v>
      </c>
      <c r="S398" s="95">
        <f t="shared" si="117"/>
        <v>0.97231330097594548</v>
      </c>
      <c r="T398" s="96">
        <f t="shared" si="118"/>
        <v>60.099071555555561</v>
      </c>
      <c r="U398" s="97"/>
      <c r="V398" s="97">
        <f t="shared" si="122"/>
        <v>53.121242086716009</v>
      </c>
      <c r="W398" s="96">
        <f t="shared" si="112"/>
        <v>58.435126649771782</v>
      </c>
      <c r="X398" s="96">
        <f t="shared" si="125"/>
        <v>0.76323052105787359</v>
      </c>
      <c r="Y398" s="96">
        <f t="shared" si="119"/>
        <v>0.69978854283104308</v>
      </c>
      <c r="Z398" s="96">
        <f t="shared" si="123"/>
        <v>437.65778640520125</v>
      </c>
      <c r="AA398" s="97">
        <f t="shared" si="126"/>
        <v>-31.097786405200868</v>
      </c>
      <c r="AB398" s="97">
        <f t="shared" si="127"/>
        <v>238.90221359479935</v>
      </c>
      <c r="AC398" s="97">
        <f t="shared" si="128"/>
        <v>5576.2055347586665</v>
      </c>
      <c r="AD398" s="96"/>
      <c r="AE398" s="105">
        <f t="shared" si="120"/>
        <v>17.65778640520125</v>
      </c>
    </row>
    <row r="399" spans="5:31" x14ac:dyDescent="0.35">
      <c r="E399" s="100">
        <f t="shared" si="111"/>
        <v>1.2756944444444875</v>
      </c>
      <c r="F399" s="5">
        <v>20</v>
      </c>
      <c r="G399" s="5">
        <f t="shared" si="124"/>
        <v>140</v>
      </c>
      <c r="H399" s="106">
        <f t="shared" si="124"/>
        <v>3.8194444444444443E-3</v>
      </c>
      <c r="I399" s="110">
        <f t="shared" si="121"/>
        <v>1.7687499999999998E-2</v>
      </c>
      <c r="J399" s="5">
        <v>1.05</v>
      </c>
      <c r="K399" s="5">
        <v>0</v>
      </c>
      <c r="L399" s="5">
        <v>0</v>
      </c>
      <c r="N399" s="5">
        <f t="shared" si="113"/>
        <v>140</v>
      </c>
      <c r="O399" s="97">
        <f t="shared" si="114"/>
        <v>181.81818181818184</v>
      </c>
      <c r="P399" s="5">
        <f t="shared" si="115"/>
        <v>1.03</v>
      </c>
      <c r="R399" s="96">
        <f t="shared" si="116"/>
        <v>4.1738118782419713</v>
      </c>
      <c r="S399" s="95">
        <f t="shared" si="117"/>
        <v>0.97219725481455221</v>
      </c>
      <c r="T399" s="96">
        <f t="shared" si="118"/>
        <v>60.099071555555561</v>
      </c>
      <c r="U399" s="97"/>
      <c r="V399" s="97">
        <f t="shared" si="122"/>
        <v>53.121242086716009</v>
      </c>
      <c r="W399" s="96">
        <f t="shared" si="112"/>
        <v>58.42815238321446</v>
      </c>
      <c r="X399" s="96">
        <f t="shared" si="125"/>
        <v>0.76271414816617411</v>
      </c>
      <c r="Y399" s="96">
        <f t="shared" si="119"/>
        <v>0.69399087227968048</v>
      </c>
      <c r="Z399" s="96">
        <f t="shared" si="123"/>
        <v>438.35177727748095</v>
      </c>
      <c r="AA399" s="97">
        <f t="shared" si="126"/>
        <v>-31.791777277480548</v>
      </c>
      <c r="AB399" s="97">
        <f t="shared" si="127"/>
        <v>238.20822272251968</v>
      </c>
      <c r="AC399" s="97">
        <f t="shared" si="128"/>
        <v>5590.1701983301809</v>
      </c>
      <c r="AD399" s="96"/>
      <c r="AE399" s="105">
        <f t="shared" si="120"/>
        <v>18.351777277480949</v>
      </c>
    </row>
    <row r="400" spans="5:31" x14ac:dyDescent="0.35">
      <c r="E400" s="100">
        <f t="shared" si="111"/>
        <v>1.2763888888889321</v>
      </c>
      <c r="F400" s="5">
        <v>20</v>
      </c>
      <c r="G400" s="5">
        <f t="shared" si="124"/>
        <v>140</v>
      </c>
      <c r="H400" s="106">
        <f t="shared" si="124"/>
        <v>3.8194444444444443E-3</v>
      </c>
      <c r="I400" s="110">
        <f t="shared" si="121"/>
        <v>1.7687499999999998E-2</v>
      </c>
      <c r="J400" s="5">
        <v>1.05</v>
      </c>
      <c r="K400" s="5">
        <v>0</v>
      </c>
      <c r="L400" s="5">
        <v>0</v>
      </c>
      <c r="N400" s="5">
        <f t="shared" si="113"/>
        <v>140</v>
      </c>
      <c r="O400" s="97">
        <f t="shared" si="114"/>
        <v>181.81818181818184</v>
      </c>
      <c r="P400" s="5">
        <f t="shared" si="115"/>
        <v>1.03</v>
      </c>
      <c r="R400" s="96">
        <f t="shared" si="116"/>
        <v>4.1738118782419713</v>
      </c>
      <c r="S400" s="95">
        <f t="shared" si="117"/>
        <v>0.97208217008274977</v>
      </c>
      <c r="T400" s="96">
        <f t="shared" si="118"/>
        <v>60.099071555555561</v>
      </c>
      <c r="U400" s="97"/>
      <c r="V400" s="97">
        <f t="shared" si="122"/>
        <v>53.121242086716009</v>
      </c>
      <c r="W400" s="96">
        <f t="shared" si="112"/>
        <v>58.421235897682912</v>
      </c>
      <c r="X400" s="96">
        <f t="shared" si="125"/>
        <v>0.76220205336667612</v>
      </c>
      <c r="Y400" s="96">
        <f t="shared" si="119"/>
        <v>0.68824258201796396</v>
      </c>
      <c r="Z400" s="96">
        <f t="shared" si="123"/>
        <v>439.0400198594989</v>
      </c>
      <c r="AA400" s="97">
        <f t="shared" si="126"/>
        <v>-32.480019859498512</v>
      </c>
      <c r="AB400" s="97">
        <f t="shared" si="127"/>
        <v>237.5199801405017</v>
      </c>
      <c r="AC400" s="97">
        <f t="shared" si="128"/>
        <v>5604.1332088219788</v>
      </c>
      <c r="AD400" s="96"/>
      <c r="AE400" s="105">
        <f t="shared" si="120"/>
        <v>19.040019859498898</v>
      </c>
    </row>
    <row r="401" spans="5:31" x14ac:dyDescent="0.35">
      <c r="E401" s="100">
        <f t="shared" si="111"/>
        <v>1.2770833333333766</v>
      </c>
      <c r="F401" s="5">
        <v>20</v>
      </c>
      <c r="G401" s="5">
        <f t="shared" si="124"/>
        <v>140</v>
      </c>
      <c r="H401" s="106">
        <f t="shared" si="124"/>
        <v>3.8194444444444443E-3</v>
      </c>
      <c r="I401" s="110">
        <f t="shared" si="121"/>
        <v>1.7687499999999998E-2</v>
      </c>
      <c r="J401" s="5">
        <v>1.05</v>
      </c>
      <c r="K401" s="5">
        <v>0</v>
      </c>
      <c r="L401" s="5">
        <v>0</v>
      </c>
      <c r="N401" s="5">
        <f t="shared" si="113"/>
        <v>140</v>
      </c>
      <c r="O401" s="97">
        <f t="shared" si="114"/>
        <v>181.81818181818184</v>
      </c>
      <c r="P401" s="5">
        <f t="shared" si="115"/>
        <v>1.03</v>
      </c>
      <c r="R401" s="96">
        <f t="shared" si="116"/>
        <v>4.1738118782419713</v>
      </c>
      <c r="S401" s="95">
        <f t="shared" si="117"/>
        <v>0.97196803859178882</v>
      </c>
      <c r="T401" s="96">
        <f t="shared" si="118"/>
        <v>60.099071555555561</v>
      </c>
      <c r="U401" s="97"/>
      <c r="V401" s="97">
        <f t="shared" si="122"/>
        <v>53.121242086716009</v>
      </c>
      <c r="W401" s="96">
        <f t="shared" si="112"/>
        <v>58.414376701040908</v>
      </c>
      <c r="X401" s="96">
        <f t="shared" si="125"/>
        <v>0.76169420022173961</v>
      </c>
      <c r="Y401" s="96">
        <f t="shared" si="119"/>
        <v>0.68254322954964808</v>
      </c>
      <c r="Z401" s="96">
        <f t="shared" si="123"/>
        <v>439.72256308904855</v>
      </c>
      <c r="AA401" s="97">
        <f t="shared" si="126"/>
        <v>-33.162563089048163</v>
      </c>
      <c r="AB401" s="97">
        <f t="shared" si="127"/>
        <v>236.83743691095205</v>
      </c>
      <c r="AC401" s="97">
        <f t="shared" si="128"/>
        <v>5618.0945799264337</v>
      </c>
      <c r="AD401" s="96"/>
      <c r="AE401" s="105">
        <f t="shared" si="120"/>
        <v>19.722563089048549</v>
      </c>
    </row>
    <row r="402" spans="5:31" x14ac:dyDescent="0.35">
      <c r="E402" s="100">
        <f t="shared" si="111"/>
        <v>1.2777777777778212</v>
      </c>
      <c r="F402" s="5">
        <v>20</v>
      </c>
      <c r="G402" s="5">
        <f t="shared" si="124"/>
        <v>140</v>
      </c>
      <c r="H402" s="106">
        <f t="shared" si="124"/>
        <v>3.8194444444444443E-3</v>
      </c>
      <c r="I402" s="110">
        <f t="shared" si="121"/>
        <v>1.7687499999999998E-2</v>
      </c>
      <c r="J402" s="5">
        <v>1.05</v>
      </c>
      <c r="K402" s="5">
        <v>0</v>
      </c>
      <c r="L402" s="5">
        <v>0</v>
      </c>
      <c r="N402" s="5">
        <f t="shared" si="113"/>
        <v>140</v>
      </c>
      <c r="O402" s="97">
        <f t="shared" si="114"/>
        <v>181.81818181818184</v>
      </c>
      <c r="P402" s="5">
        <f t="shared" si="115"/>
        <v>1.03</v>
      </c>
      <c r="R402" s="96">
        <f t="shared" si="116"/>
        <v>4.1738118782419713</v>
      </c>
      <c r="S402" s="95">
        <f t="shared" si="117"/>
        <v>0.97185485222629941</v>
      </c>
      <c r="T402" s="96">
        <f t="shared" si="118"/>
        <v>60.099071555555561</v>
      </c>
      <c r="U402" s="97"/>
      <c r="V402" s="97">
        <f t="shared" si="122"/>
        <v>53.121242086716009</v>
      </c>
      <c r="W402" s="96">
        <f t="shared" si="112"/>
        <v>58.407574305562243</v>
      </c>
      <c r="X402" s="96">
        <f t="shared" si="125"/>
        <v>0.76119055262024193</v>
      </c>
      <c r="Y402" s="96">
        <f t="shared" si="119"/>
        <v>0.67689237669795443</v>
      </c>
      <c r="Z402" s="96">
        <f t="shared" si="123"/>
        <v>440.39945546574648</v>
      </c>
      <c r="AA402" s="97">
        <f t="shared" si="126"/>
        <v>-33.83945546574612</v>
      </c>
      <c r="AB402" s="97">
        <f t="shared" si="127"/>
        <v>266.16054453425409</v>
      </c>
      <c r="AC402" s="97">
        <f t="shared" si="128"/>
        <v>5632.0543252193502</v>
      </c>
      <c r="AD402" s="96"/>
      <c r="AE402" s="105">
        <f t="shared" si="120"/>
        <v>20.399455465746485</v>
      </c>
    </row>
    <row r="403" spans="5:31" x14ac:dyDescent="0.35">
      <c r="E403" s="100">
        <f t="shared" si="111"/>
        <v>1.2784722222222658</v>
      </c>
      <c r="F403" s="5">
        <v>20</v>
      </c>
      <c r="G403" s="5">
        <f t="shared" si="124"/>
        <v>140</v>
      </c>
      <c r="H403" s="106">
        <f t="shared" si="124"/>
        <v>3.8194444444444443E-3</v>
      </c>
      <c r="I403" s="110">
        <f t="shared" si="121"/>
        <v>1.7687499999999998E-2</v>
      </c>
      <c r="J403" s="5">
        <v>1.05</v>
      </c>
      <c r="K403" s="5">
        <v>0</v>
      </c>
      <c r="L403" s="5">
        <v>0</v>
      </c>
      <c r="N403" s="5">
        <f t="shared" si="113"/>
        <v>140</v>
      </c>
      <c r="O403" s="97">
        <f t="shared" si="114"/>
        <v>181.81818181818184</v>
      </c>
      <c r="P403" s="5">
        <f t="shared" si="115"/>
        <v>1.03</v>
      </c>
      <c r="R403" s="96">
        <f t="shared" si="116"/>
        <v>4.1738118782419713</v>
      </c>
      <c r="S403" s="95">
        <f t="shared" si="117"/>
        <v>0.97671751268947526</v>
      </c>
      <c r="T403" s="96">
        <f t="shared" si="118"/>
        <v>60.099071555555561</v>
      </c>
      <c r="U403" s="97"/>
      <c r="V403" s="97">
        <f t="shared" si="122"/>
        <v>53.121242086716009</v>
      </c>
      <c r="W403" s="96">
        <f t="shared" si="112"/>
        <v>58.699815684689021</v>
      </c>
      <c r="X403" s="96">
        <f t="shared" si="125"/>
        <v>0.78282802872952617</v>
      </c>
      <c r="Y403" s="96">
        <f t="shared" si="119"/>
        <v>0.92083144317221877</v>
      </c>
      <c r="Z403" s="96">
        <f t="shared" si="123"/>
        <v>441.32028690891872</v>
      </c>
      <c r="AA403" s="97">
        <f t="shared" si="126"/>
        <v>-34.760286908918339</v>
      </c>
      <c r="AB403" s="97">
        <f t="shared" si="127"/>
        <v>265.23971309108185</v>
      </c>
      <c r="AC403" s="97">
        <f t="shared" si="128"/>
        <v>5646.0839178782144</v>
      </c>
      <c r="AD403" s="96"/>
      <c r="AE403" s="105">
        <f t="shared" si="120"/>
        <v>21.320286908918717</v>
      </c>
    </row>
    <row r="404" spans="5:31" x14ac:dyDescent="0.35">
      <c r="E404" s="100">
        <f t="shared" si="111"/>
        <v>1.2791666666667103</v>
      </c>
      <c r="F404" s="5">
        <v>20</v>
      </c>
      <c r="G404" s="5">
        <f t="shared" si="124"/>
        <v>140</v>
      </c>
      <c r="H404" s="106">
        <f t="shared" si="124"/>
        <v>3.8194444444444443E-3</v>
      </c>
      <c r="I404" s="110">
        <f t="shared" si="121"/>
        <v>1.7687499999999998E-2</v>
      </c>
      <c r="J404" s="5">
        <v>1.05</v>
      </c>
      <c r="K404" s="5">
        <v>0</v>
      </c>
      <c r="L404" s="5">
        <v>0</v>
      </c>
      <c r="N404" s="5">
        <f t="shared" si="113"/>
        <v>140</v>
      </c>
      <c r="O404" s="97">
        <f t="shared" si="114"/>
        <v>181.81818181818184</v>
      </c>
      <c r="P404" s="5">
        <f t="shared" si="115"/>
        <v>1.03</v>
      </c>
      <c r="R404" s="96">
        <f t="shared" si="116"/>
        <v>4.1738118782419713</v>
      </c>
      <c r="S404" s="95">
        <f t="shared" si="117"/>
        <v>0.97656481091210956</v>
      </c>
      <c r="T404" s="96">
        <f t="shared" si="118"/>
        <v>60.099071555555561</v>
      </c>
      <c r="U404" s="97"/>
      <c r="V404" s="97">
        <f t="shared" si="122"/>
        <v>53.121242086716009</v>
      </c>
      <c r="W404" s="96">
        <f t="shared" si="112"/>
        <v>58.69063844964446</v>
      </c>
      <c r="X404" s="96">
        <f t="shared" si="125"/>
        <v>0.78214854862092809</v>
      </c>
      <c r="Y404" s="96">
        <f t="shared" si="119"/>
        <v>0.91313461482460845</v>
      </c>
      <c r="Z404" s="96">
        <f t="shared" si="123"/>
        <v>442.23342152374335</v>
      </c>
      <c r="AA404" s="97">
        <f t="shared" si="126"/>
        <v>-35.673421523742945</v>
      </c>
      <c r="AB404" s="97">
        <f t="shared" si="127"/>
        <v>264.32657847625723</v>
      </c>
      <c r="AC404" s="97">
        <f t="shared" si="128"/>
        <v>5660.1113171252609</v>
      </c>
      <c r="AD404" s="96"/>
      <c r="AE404" s="105">
        <f t="shared" si="120"/>
        <v>22.233421523743345</v>
      </c>
    </row>
    <row r="405" spans="5:31" x14ac:dyDescent="0.35">
      <c r="E405" s="100">
        <f t="shared" si="111"/>
        <v>1.2798611111111549</v>
      </c>
      <c r="F405" s="5">
        <v>20</v>
      </c>
      <c r="G405" s="5">
        <f t="shared" si="124"/>
        <v>140</v>
      </c>
      <c r="H405" s="106">
        <f t="shared" si="124"/>
        <v>3.8194444444444443E-3</v>
      </c>
      <c r="I405" s="110">
        <f t="shared" si="121"/>
        <v>1.7687499999999998E-2</v>
      </c>
      <c r="J405" s="5">
        <v>1.05</v>
      </c>
      <c r="K405" s="5">
        <v>0</v>
      </c>
      <c r="L405" s="5">
        <v>0</v>
      </c>
      <c r="N405" s="5">
        <f t="shared" si="113"/>
        <v>140</v>
      </c>
      <c r="O405" s="97">
        <f t="shared" si="114"/>
        <v>181.81818181818184</v>
      </c>
      <c r="P405" s="5">
        <f t="shared" si="115"/>
        <v>1.03</v>
      </c>
      <c r="R405" s="96">
        <f t="shared" si="116"/>
        <v>4.1738118782419713</v>
      </c>
      <c r="S405" s="95">
        <f t="shared" si="117"/>
        <v>0.97641338550228907</v>
      </c>
      <c r="T405" s="96">
        <f t="shared" si="118"/>
        <v>60.099071555555561</v>
      </c>
      <c r="U405" s="97"/>
      <c r="V405" s="97">
        <f t="shared" si="122"/>
        <v>53.121242086716009</v>
      </c>
      <c r="W405" s="96">
        <f t="shared" si="112"/>
        <v>58.681537923104329</v>
      </c>
      <c r="X405" s="96">
        <f t="shared" si="125"/>
        <v>0.78147474799015426</v>
      </c>
      <c r="Y405" s="96">
        <f t="shared" si="119"/>
        <v>0.90550445340144092</v>
      </c>
      <c r="Z405" s="96">
        <f t="shared" si="123"/>
        <v>443.13892597714477</v>
      </c>
      <c r="AA405" s="97">
        <f t="shared" si="126"/>
        <v>-36.578925977144387</v>
      </c>
      <c r="AB405" s="97">
        <f t="shared" si="127"/>
        <v>263.42107402285581</v>
      </c>
      <c r="AC405" s="97">
        <f t="shared" si="128"/>
        <v>5674.1365412942632</v>
      </c>
      <c r="AD405" s="96"/>
      <c r="AE405" s="105">
        <f t="shared" si="120"/>
        <v>23.138925977144766</v>
      </c>
    </row>
    <row r="406" spans="5:31" x14ac:dyDescent="0.35">
      <c r="E406" s="100">
        <f t="shared" si="111"/>
        <v>1.2805555555555994</v>
      </c>
      <c r="F406" s="5">
        <v>20</v>
      </c>
      <c r="G406" s="5">
        <f t="shared" si="124"/>
        <v>140</v>
      </c>
      <c r="H406" s="106">
        <f t="shared" si="124"/>
        <v>3.8194444444444443E-3</v>
      </c>
      <c r="I406" s="110">
        <f t="shared" si="121"/>
        <v>1.7687499999999998E-2</v>
      </c>
      <c r="J406" s="5">
        <v>1.05</v>
      </c>
      <c r="K406" s="5">
        <v>0</v>
      </c>
      <c r="L406" s="5">
        <v>0</v>
      </c>
      <c r="N406" s="5">
        <f t="shared" si="113"/>
        <v>140</v>
      </c>
      <c r="O406" s="97">
        <f t="shared" si="114"/>
        <v>181.81818181818184</v>
      </c>
      <c r="P406" s="5">
        <f t="shared" si="115"/>
        <v>1.03</v>
      </c>
      <c r="R406" s="96">
        <f t="shared" si="116"/>
        <v>4.1738118782419713</v>
      </c>
      <c r="S406" s="95">
        <f t="shared" si="117"/>
        <v>0.97626322540461641</v>
      </c>
      <c r="T406" s="96">
        <f t="shared" si="118"/>
        <v>60.099071555555561</v>
      </c>
      <c r="U406" s="97"/>
      <c r="V406" s="97">
        <f t="shared" si="122"/>
        <v>53.121242086716009</v>
      </c>
      <c r="W406" s="96">
        <f t="shared" si="112"/>
        <v>58.67251344064951</v>
      </c>
      <c r="X406" s="96">
        <f t="shared" si="125"/>
        <v>0.78080657764378369</v>
      </c>
      <c r="Y406" s="96">
        <f t="shared" si="119"/>
        <v>0.89794034335185402</v>
      </c>
      <c r="Z406" s="96">
        <f t="shared" si="123"/>
        <v>444.03686632049664</v>
      </c>
      <c r="AA406" s="97">
        <f t="shared" si="126"/>
        <v>-37.476866320496242</v>
      </c>
      <c r="AB406" s="97">
        <f t="shared" si="127"/>
        <v>262.52313367950393</v>
      </c>
      <c r="AC406" s="97">
        <f t="shared" si="128"/>
        <v>5688.1596085601932</v>
      </c>
      <c r="AD406" s="96"/>
      <c r="AE406" s="105">
        <f t="shared" si="120"/>
        <v>24.036866320496642</v>
      </c>
    </row>
    <row r="407" spans="5:31" x14ac:dyDescent="0.35">
      <c r="E407" s="100">
        <f t="shared" si="111"/>
        <v>1.281250000000044</v>
      </c>
      <c r="F407" s="5">
        <v>20</v>
      </c>
      <c r="G407" s="5">
        <f t="shared" si="124"/>
        <v>140</v>
      </c>
      <c r="H407" s="106">
        <f t="shared" si="124"/>
        <v>3.8194444444444443E-3</v>
      </c>
      <c r="I407" s="110">
        <f t="shared" si="121"/>
        <v>1.7687499999999998E-2</v>
      </c>
      <c r="J407" s="5">
        <v>1.05</v>
      </c>
      <c r="K407" s="5">
        <v>0</v>
      </c>
      <c r="L407" s="5">
        <v>0</v>
      </c>
      <c r="N407" s="5">
        <f t="shared" si="113"/>
        <v>140</v>
      </c>
      <c r="O407" s="97">
        <f t="shared" si="114"/>
        <v>181.81818181818184</v>
      </c>
      <c r="P407" s="5">
        <f t="shared" si="115"/>
        <v>1.03</v>
      </c>
      <c r="R407" s="96">
        <f t="shared" si="116"/>
        <v>4.1738118782419713</v>
      </c>
      <c r="S407" s="95">
        <f t="shared" si="117"/>
        <v>0.97611431966577045</v>
      </c>
      <c r="T407" s="96">
        <f t="shared" si="118"/>
        <v>60.099071555555561</v>
      </c>
      <c r="U407" s="97"/>
      <c r="V407" s="97">
        <f t="shared" si="122"/>
        <v>53.121242086716009</v>
      </c>
      <c r="W407" s="96">
        <f t="shared" si="112"/>
        <v>58.663564343995574</v>
      </c>
      <c r="X407" s="96">
        <f t="shared" si="125"/>
        <v>0.78014398884260905</v>
      </c>
      <c r="Y407" s="96">
        <f t="shared" si="119"/>
        <v>0.8904416754266784</v>
      </c>
      <c r="Z407" s="96">
        <f t="shared" si="123"/>
        <v>444.92730799592334</v>
      </c>
      <c r="AA407" s="97">
        <f t="shared" si="126"/>
        <v>-38.367307995922921</v>
      </c>
      <c r="AB407" s="97">
        <f t="shared" si="127"/>
        <v>261.63269200407723</v>
      </c>
      <c r="AC407" s="97">
        <f t="shared" si="128"/>
        <v>5702.1805369406893</v>
      </c>
      <c r="AD407" s="96"/>
      <c r="AE407" s="105">
        <f t="shared" si="120"/>
        <v>24.927307995923343</v>
      </c>
    </row>
    <row r="408" spans="5:31" x14ac:dyDescent="0.35">
      <c r="E408" s="100">
        <f t="shared" si="111"/>
        <v>1.2819444444444885</v>
      </c>
      <c r="F408" s="5">
        <v>20</v>
      </c>
      <c r="G408" s="5">
        <f t="shared" si="124"/>
        <v>140</v>
      </c>
      <c r="H408" s="106">
        <f t="shared" si="124"/>
        <v>3.8194444444444443E-3</v>
      </c>
      <c r="I408" s="110">
        <f t="shared" si="121"/>
        <v>1.7687499999999998E-2</v>
      </c>
      <c r="J408" s="5">
        <v>1.05</v>
      </c>
      <c r="K408" s="5">
        <v>0</v>
      </c>
      <c r="L408" s="5">
        <v>0</v>
      </c>
      <c r="N408" s="5">
        <f t="shared" si="113"/>
        <v>140</v>
      </c>
      <c r="O408" s="97">
        <f t="shared" si="114"/>
        <v>181.81818181818184</v>
      </c>
      <c r="P408" s="5">
        <f t="shared" si="115"/>
        <v>1.03</v>
      </c>
      <c r="R408" s="96">
        <f t="shared" si="116"/>
        <v>4.1738118782419713</v>
      </c>
      <c r="S408" s="95">
        <f t="shared" si="117"/>
        <v>0.97596665743346245</v>
      </c>
      <c r="T408" s="96">
        <f t="shared" si="118"/>
        <v>60.099071555555561</v>
      </c>
      <c r="U408" s="97"/>
      <c r="V408" s="97">
        <f t="shared" si="122"/>
        <v>53.121242086716009</v>
      </c>
      <c r="W408" s="96">
        <f t="shared" si="112"/>
        <v>58.654689980930044</v>
      </c>
      <c r="X408" s="96">
        <f t="shared" si="125"/>
        <v>0.77948693329698726</v>
      </c>
      <c r="Y408" s="96">
        <f t="shared" si="119"/>
        <v>0.88300784660410159</v>
      </c>
      <c r="Z408" s="96">
        <f t="shared" si="123"/>
        <v>445.81031584252742</v>
      </c>
      <c r="AA408" s="97">
        <f t="shared" si="126"/>
        <v>-39.250315842527023</v>
      </c>
      <c r="AB408" s="97">
        <f t="shared" si="127"/>
        <v>260.7496841574731</v>
      </c>
      <c r="AC408" s="97">
        <f t="shared" si="128"/>
        <v>5716.1993442975081</v>
      </c>
      <c r="AD408" s="96"/>
      <c r="AE408" s="105">
        <f t="shared" si="120"/>
        <v>25.810315842527416</v>
      </c>
    </row>
    <row r="409" spans="5:31" x14ac:dyDescent="0.35">
      <c r="E409" s="100">
        <f t="shared" si="111"/>
        <v>1.2826388888889331</v>
      </c>
      <c r="F409" s="5">
        <v>20</v>
      </c>
      <c r="G409" s="5">
        <f t="shared" si="124"/>
        <v>140</v>
      </c>
      <c r="H409" s="106">
        <f t="shared" si="124"/>
        <v>3.8194444444444443E-3</v>
      </c>
      <c r="I409" s="110">
        <f t="shared" si="121"/>
        <v>1.7687499999999998E-2</v>
      </c>
      <c r="J409" s="5">
        <v>1.05</v>
      </c>
      <c r="K409" s="5">
        <v>0</v>
      </c>
      <c r="L409" s="5">
        <v>0</v>
      </c>
      <c r="N409" s="5">
        <f t="shared" si="113"/>
        <v>140</v>
      </c>
      <c r="O409" s="97">
        <f t="shared" si="114"/>
        <v>181.81818181818184</v>
      </c>
      <c r="P409" s="5">
        <f t="shared" si="115"/>
        <v>1.03</v>
      </c>
      <c r="R409" s="96">
        <f t="shared" si="116"/>
        <v>4.1738118782419713</v>
      </c>
      <c r="S409" s="95">
        <f t="shared" si="117"/>
        <v>0.97582022795540313</v>
      </c>
      <c r="T409" s="96">
        <f t="shared" si="118"/>
        <v>60.099071555555561</v>
      </c>
      <c r="U409" s="97"/>
      <c r="V409" s="97">
        <f t="shared" si="122"/>
        <v>53.121242086716009</v>
      </c>
      <c r="W409" s="96">
        <f t="shared" si="112"/>
        <v>58.645889705250312</v>
      </c>
      <c r="X409" s="96">
        <f t="shared" si="125"/>
        <v>0.77883536316224389</v>
      </c>
      <c r="Y409" s="96">
        <f t="shared" si="119"/>
        <v>0.87563826001634681</v>
      </c>
      <c r="Z409" s="96">
        <f t="shared" si="123"/>
        <v>446.68595410254375</v>
      </c>
      <c r="AA409" s="97">
        <f t="shared" si="126"/>
        <v>-40.125954102543368</v>
      </c>
      <c r="AB409" s="97">
        <f t="shared" si="127"/>
        <v>259.87404589745677</v>
      </c>
      <c r="AC409" s="97">
        <f t="shared" si="128"/>
        <v>5730.2160483379603</v>
      </c>
      <c r="AD409" s="96"/>
      <c r="AE409" s="105">
        <f t="shared" si="120"/>
        <v>26.685954102543747</v>
      </c>
    </row>
    <row r="410" spans="5:31" x14ac:dyDescent="0.35">
      <c r="E410" s="100">
        <f t="shared" si="111"/>
        <v>1.2833333333333776</v>
      </c>
      <c r="F410" s="5">
        <v>20</v>
      </c>
      <c r="G410" s="5">
        <f t="shared" si="124"/>
        <v>140</v>
      </c>
      <c r="H410" s="106">
        <f t="shared" si="124"/>
        <v>3.8194444444444443E-3</v>
      </c>
      <c r="I410" s="110">
        <f t="shared" si="121"/>
        <v>1.7687499999999998E-2</v>
      </c>
      <c r="J410" s="5">
        <v>1.05</v>
      </c>
      <c r="K410" s="5">
        <v>0</v>
      </c>
      <c r="L410" s="5">
        <v>0</v>
      </c>
      <c r="N410" s="5">
        <f t="shared" si="113"/>
        <v>140</v>
      </c>
      <c r="O410" s="97">
        <f t="shared" si="114"/>
        <v>181.81818181818184</v>
      </c>
      <c r="P410" s="5">
        <f t="shared" si="115"/>
        <v>1.03</v>
      </c>
      <c r="R410" s="96">
        <f t="shared" si="116"/>
        <v>4.1738118782419713</v>
      </c>
      <c r="S410" s="95">
        <f t="shared" si="117"/>
        <v>0.97567502057828193</v>
      </c>
      <c r="T410" s="96">
        <f t="shared" si="118"/>
        <v>60.099071555555561</v>
      </c>
      <c r="U410" s="97"/>
      <c r="V410" s="97">
        <f t="shared" si="122"/>
        <v>53.121242086716009</v>
      </c>
      <c r="W410" s="96">
        <f t="shared" si="112"/>
        <v>58.637162876702313</v>
      </c>
      <c r="X410" s="96">
        <f t="shared" si="125"/>
        <v>0.77818923103413273</v>
      </c>
      <c r="Y410" s="96">
        <f t="shared" si="119"/>
        <v>0.8683323248773771</v>
      </c>
      <c r="Z410" s="96">
        <f t="shared" si="123"/>
        <v>447.55428642742112</v>
      </c>
      <c r="AA410" s="97">
        <f t="shared" si="126"/>
        <v>-40.994286427420747</v>
      </c>
      <c r="AB410" s="97">
        <f t="shared" si="127"/>
        <v>259.0057135725794</v>
      </c>
      <c r="AC410" s="97">
        <f t="shared" si="128"/>
        <v>5744.2306666163304</v>
      </c>
      <c r="AD410" s="96"/>
      <c r="AE410" s="105">
        <f t="shared" si="120"/>
        <v>27.554286427421118</v>
      </c>
    </row>
    <row r="411" spans="5:31" x14ac:dyDescent="0.35">
      <c r="E411" s="100">
        <f t="shared" si="111"/>
        <v>1.2840277777778222</v>
      </c>
      <c r="F411" s="5">
        <v>20</v>
      </c>
      <c r="G411" s="5">
        <f t="shared" si="124"/>
        <v>140</v>
      </c>
      <c r="H411" s="106">
        <f t="shared" si="124"/>
        <v>3.8194444444444443E-3</v>
      </c>
      <c r="I411" s="110">
        <f t="shared" si="121"/>
        <v>1.7687499999999998E-2</v>
      </c>
      <c r="J411" s="5">
        <v>1.05</v>
      </c>
      <c r="K411" s="5">
        <v>0</v>
      </c>
      <c r="L411" s="5">
        <v>0</v>
      </c>
      <c r="N411" s="5">
        <f t="shared" si="113"/>
        <v>140</v>
      </c>
      <c r="O411" s="97">
        <f t="shared" si="114"/>
        <v>181.81818181818184</v>
      </c>
      <c r="P411" s="5">
        <f t="shared" si="115"/>
        <v>1.03</v>
      </c>
      <c r="R411" s="96">
        <f t="shared" si="116"/>
        <v>4.1738118782419713</v>
      </c>
      <c r="S411" s="95">
        <f t="shared" si="117"/>
        <v>0.97553102474675824</v>
      </c>
      <c r="T411" s="96">
        <f t="shared" si="118"/>
        <v>60.099071555555561</v>
      </c>
      <c r="U411" s="97"/>
      <c r="V411" s="97">
        <f t="shared" si="122"/>
        <v>53.121242086716009</v>
      </c>
      <c r="W411" s="96">
        <f t="shared" si="112"/>
        <v>58.628508860919865</v>
      </c>
      <c r="X411" s="96">
        <f t="shared" si="125"/>
        <v>0.77754848994434711</v>
      </c>
      <c r="Y411" s="96">
        <f t="shared" si="119"/>
        <v>0.86108945641157431</v>
      </c>
      <c r="Z411" s="96">
        <f t="shared" si="123"/>
        <v>448.41537588383267</v>
      </c>
      <c r="AA411" s="97">
        <f t="shared" si="126"/>
        <v>-41.855375883832323</v>
      </c>
      <c r="AB411" s="97">
        <f t="shared" si="127"/>
        <v>258.14462411616785</v>
      </c>
      <c r="AC411" s="97">
        <f t="shared" si="128"/>
        <v>5758.2432165352884</v>
      </c>
      <c r="AD411" s="96"/>
      <c r="AE411" s="105">
        <f t="shared" si="120"/>
        <v>28.415375883832667</v>
      </c>
    </row>
    <row r="412" spans="5:31" x14ac:dyDescent="0.35">
      <c r="E412" s="100">
        <f t="shared" si="111"/>
        <v>1.2847222222222667</v>
      </c>
      <c r="F412" s="5">
        <v>20</v>
      </c>
      <c r="G412" s="5">
        <f t="shared" si="124"/>
        <v>140</v>
      </c>
      <c r="H412" s="106">
        <f t="shared" si="124"/>
        <v>3.8194444444444443E-3</v>
      </c>
      <c r="I412" s="110">
        <f t="shared" si="121"/>
        <v>1.7687499999999998E-2</v>
      </c>
      <c r="J412" s="5">
        <v>1.05</v>
      </c>
      <c r="K412" s="5">
        <v>0</v>
      </c>
      <c r="L412" s="5">
        <v>0</v>
      </c>
      <c r="N412" s="5">
        <f t="shared" si="113"/>
        <v>140</v>
      </c>
      <c r="O412" s="97">
        <f t="shared" si="114"/>
        <v>181.81818181818184</v>
      </c>
      <c r="P412" s="5">
        <f t="shared" si="115"/>
        <v>1.03</v>
      </c>
      <c r="R412" s="96">
        <f t="shared" si="116"/>
        <v>4.1738118782419713</v>
      </c>
      <c r="S412" s="95">
        <f t="shared" si="117"/>
        <v>0.975388230002465</v>
      </c>
      <c r="T412" s="96">
        <f t="shared" si="118"/>
        <v>60.099071555555561</v>
      </c>
      <c r="U412" s="97"/>
      <c r="V412" s="97">
        <f t="shared" si="122"/>
        <v>53.121242086716009</v>
      </c>
      <c r="W412" s="96">
        <f t="shared" si="112"/>
        <v>58.619927029364831</v>
      </c>
      <c r="X412" s="96">
        <f t="shared" si="125"/>
        <v>0.77691309335608594</v>
      </c>
      <c r="Y412" s="96">
        <f t="shared" si="119"/>
        <v>0.85390907578342512</v>
      </c>
      <c r="Z412" s="96">
        <f t="shared" si="123"/>
        <v>449.26928495961607</v>
      </c>
      <c r="AA412" s="97">
        <f t="shared" si="126"/>
        <v>-42.709284959615751</v>
      </c>
      <c r="AB412" s="97">
        <f t="shared" si="127"/>
        <v>257.29071504038444</v>
      </c>
      <c r="AC412" s="97">
        <f t="shared" si="128"/>
        <v>5772.2537153472776</v>
      </c>
      <c r="AD412" s="96"/>
      <c r="AE412" s="105">
        <f t="shared" si="120"/>
        <v>29.269284959616073</v>
      </c>
    </row>
    <row r="413" spans="5:31" x14ac:dyDescent="0.35">
      <c r="E413" s="100">
        <f t="shared" si="111"/>
        <v>1.2854166666667113</v>
      </c>
      <c r="F413" s="5">
        <v>20</v>
      </c>
      <c r="G413" s="5">
        <f t="shared" si="124"/>
        <v>140</v>
      </c>
      <c r="H413" s="106">
        <f t="shared" si="124"/>
        <v>3.8194444444444443E-3</v>
      </c>
      <c r="I413" s="110">
        <f t="shared" si="121"/>
        <v>1.7687499999999998E-2</v>
      </c>
      <c r="J413" s="5">
        <v>1.05</v>
      </c>
      <c r="K413" s="5">
        <v>0</v>
      </c>
      <c r="L413" s="5">
        <v>0</v>
      </c>
      <c r="N413" s="5">
        <f t="shared" si="113"/>
        <v>140</v>
      </c>
      <c r="O413" s="97">
        <f t="shared" si="114"/>
        <v>181.81818181818184</v>
      </c>
      <c r="P413" s="5">
        <f t="shared" si="115"/>
        <v>1.03</v>
      </c>
      <c r="R413" s="96">
        <f t="shared" si="116"/>
        <v>4.1738118782419713</v>
      </c>
      <c r="S413" s="95">
        <f t="shared" si="117"/>
        <v>0.97524662598302403</v>
      </c>
      <c r="T413" s="96">
        <f t="shared" si="118"/>
        <v>60.099071555555561</v>
      </c>
      <c r="U413" s="97"/>
      <c r="V413" s="97">
        <f t="shared" si="122"/>
        <v>53.121242086716009</v>
      </c>
      <c r="W413" s="96">
        <f t="shared" si="112"/>
        <v>58.61141675926789</v>
      </c>
      <c r="X413" s="96">
        <f t="shared" si="125"/>
        <v>0.77628299515966959</v>
      </c>
      <c r="Y413" s="96">
        <f t="shared" si="119"/>
        <v>0.84679061002814615</v>
      </c>
      <c r="Z413" s="96">
        <f t="shared" si="123"/>
        <v>450.11607556964424</v>
      </c>
      <c r="AA413" s="97">
        <f t="shared" si="126"/>
        <v>-43.556075569643895</v>
      </c>
      <c r="AB413" s="97">
        <f t="shared" si="127"/>
        <v>256.44392443035628</v>
      </c>
      <c r="AC413" s="97">
        <f t="shared" si="128"/>
        <v>5786.262180155898</v>
      </c>
      <c r="AD413" s="96"/>
      <c r="AE413" s="105">
        <f t="shared" si="120"/>
        <v>0.11607556964423793</v>
      </c>
    </row>
    <row r="414" spans="5:31" x14ac:dyDescent="0.35">
      <c r="E414" s="100">
        <f t="shared" si="111"/>
        <v>1.2861111111111558</v>
      </c>
      <c r="F414" s="5">
        <v>20</v>
      </c>
      <c r="G414" s="5">
        <f t="shared" si="124"/>
        <v>140</v>
      </c>
      <c r="H414" s="106">
        <f t="shared" si="124"/>
        <v>3.8194444444444443E-3</v>
      </c>
      <c r="I414" s="110">
        <f t="shared" si="121"/>
        <v>1.7687499999999998E-2</v>
      </c>
      <c r="J414" s="5">
        <v>1.05</v>
      </c>
      <c r="K414" s="5">
        <v>0</v>
      </c>
      <c r="L414" s="5">
        <v>0</v>
      </c>
      <c r="N414" s="5">
        <f t="shared" si="113"/>
        <v>140</v>
      </c>
      <c r="O414" s="97">
        <f t="shared" si="114"/>
        <v>181.81818181818184</v>
      </c>
      <c r="P414" s="5">
        <f t="shared" si="115"/>
        <v>1.03</v>
      </c>
      <c r="R414" s="96">
        <f t="shared" si="116"/>
        <v>4.1738118782419713</v>
      </c>
      <c r="S414" s="95">
        <f t="shared" si="117"/>
        <v>0.97510620242107182</v>
      </c>
      <c r="T414" s="96">
        <f t="shared" si="118"/>
        <v>60.099071555555561</v>
      </c>
      <c r="U414" s="97"/>
      <c r="V414" s="97">
        <f t="shared" si="122"/>
        <v>53.121242086716009</v>
      </c>
      <c r="W414" s="96">
        <f t="shared" si="112"/>
        <v>58.60297743357004</v>
      </c>
      <c r="X414" s="96">
        <f t="shared" si="125"/>
        <v>0.77565814966820845</v>
      </c>
      <c r="Y414" s="96">
        <f t="shared" si="119"/>
        <v>0.83973349198327407</v>
      </c>
      <c r="Z414" s="96">
        <f t="shared" si="123"/>
        <v>450.95580906162752</v>
      </c>
      <c r="AA414" s="97">
        <f t="shared" si="126"/>
        <v>-44.395809061627169</v>
      </c>
      <c r="AB414" s="97">
        <f t="shared" si="127"/>
        <v>255.60419093837299</v>
      </c>
      <c r="AC414" s="97">
        <f t="shared" si="128"/>
        <v>5800.2686279172676</v>
      </c>
      <c r="AD414" s="96"/>
      <c r="AE414" s="105">
        <f t="shared" si="120"/>
        <v>0.95580906162751944</v>
      </c>
    </row>
    <row r="415" spans="5:31" x14ac:dyDescent="0.35">
      <c r="E415" s="100">
        <f t="shared" si="111"/>
        <v>1.2868055555556004</v>
      </c>
      <c r="F415" s="5">
        <v>20</v>
      </c>
      <c r="G415" s="5">
        <f t="shared" si="124"/>
        <v>140</v>
      </c>
      <c r="H415" s="106">
        <f t="shared" si="124"/>
        <v>3.8194444444444443E-3</v>
      </c>
      <c r="I415" s="110">
        <f t="shared" si="121"/>
        <v>1.7687499999999998E-2</v>
      </c>
      <c r="J415" s="5">
        <v>1.05</v>
      </c>
      <c r="K415" s="5">
        <v>0</v>
      </c>
      <c r="L415" s="5">
        <v>0</v>
      </c>
      <c r="N415" s="5">
        <f t="shared" si="113"/>
        <v>140</v>
      </c>
      <c r="O415" s="97">
        <f t="shared" si="114"/>
        <v>181.81818181818184</v>
      </c>
      <c r="P415" s="5">
        <f t="shared" si="115"/>
        <v>1.03</v>
      </c>
      <c r="R415" s="96">
        <f t="shared" si="116"/>
        <v>4.1738118782419713</v>
      </c>
      <c r="S415" s="95">
        <f t="shared" si="117"/>
        <v>0.97496694914329762</v>
      </c>
      <c r="T415" s="96">
        <f t="shared" si="118"/>
        <v>60.099071555555561</v>
      </c>
      <c r="U415" s="97"/>
      <c r="V415" s="97">
        <f t="shared" si="122"/>
        <v>53.121242086716009</v>
      </c>
      <c r="W415" s="96">
        <f t="shared" si="112"/>
        <v>58.594608440864747</v>
      </c>
      <c r="X415" s="96">
        <f t="shared" si="125"/>
        <v>0.77503851161332116</v>
      </c>
      <c r="Y415" s="96">
        <f t="shared" si="119"/>
        <v>0.83273716022118127</v>
      </c>
      <c r="Z415" s="96">
        <f t="shared" si="123"/>
        <v>451.78854622184872</v>
      </c>
      <c r="AA415" s="97">
        <f t="shared" si="126"/>
        <v>-45.228546221848347</v>
      </c>
      <c r="AB415" s="97">
        <f t="shared" si="127"/>
        <v>254.77145377815182</v>
      </c>
      <c r="AC415" s="97">
        <f t="shared" si="128"/>
        <v>5814.2730754413751</v>
      </c>
      <c r="AD415" s="96"/>
      <c r="AE415" s="105">
        <f t="shared" si="120"/>
        <v>1.7885462218487191</v>
      </c>
    </row>
    <row r="416" spans="5:31" x14ac:dyDescent="0.35">
      <c r="E416" s="100">
        <f t="shared" si="111"/>
        <v>1.2875000000000449</v>
      </c>
      <c r="F416" s="5">
        <v>20</v>
      </c>
      <c r="G416" s="5">
        <f t="shared" si="124"/>
        <v>140</v>
      </c>
      <c r="H416" s="106">
        <f t="shared" si="124"/>
        <v>3.8194444444444443E-3</v>
      </c>
      <c r="I416" s="110">
        <f t="shared" si="121"/>
        <v>1.7687499999999998E-2</v>
      </c>
      <c r="J416" s="5">
        <v>1.05</v>
      </c>
      <c r="K416" s="5">
        <v>0</v>
      </c>
      <c r="L416" s="5">
        <v>0</v>
      </c>
      <c r="N416" s="5">
        <f t="shared" si="113"/>
        <v>140</v>
      </c>
      <c r="O416" s="97">
        <f t="shared" si="114"/>
        <v>181.81818181818184</v>
      </c>
      <c r="P416" s="5">
        <f t="shared" si="115"/>
        <v>1.03</v>
      </c>
      <c r="R416" s="96">
        <f t="shared" si="116"/>
        <v>4.1738118782419713</v>
      </c>
      <c r="S416" s="95">
        <f t="shared" si="117"/>
        <v>0.97482885606949232</v>
      </c>
      <c r="T416" s="96">
        <f t="shared" si="118"/>
        <v>60.099071555555561</v>
      </c>
      <c r="U416" s="97"/>
      <c r="V416" s="97">
        <f t="shared" si="122"/>
        <v>53.121242086716009</v>
      </c>
      <c r="W416" s="96">
        <f t="shared" si="112"/>
        <v>58.586309175340794</v>
      </c>
      <c r="X416" s="96">
        <f t="shared" si="125"/>
        <v>0.77442403614090294</v>
      </c>
      <c r="Y416" s="96">
        <f t="shared" si="119"/>
        <v>0.82580105898251499</v>
      </c>
      <c r="Z416" s="96">
        <f t="shared" si="123"/>
        <v>452.61434728083123</v>
      </c>
      <c r="AA416" s="97">
        <f t="shared" si="126"/>
        <v>-46.054347280830861</v>
      </c>
      <c r="AB416" s="97">
        <f t="shared" si="127"/>
        <v>253.94565271916932</v>
      </c>
      <c r="AC416" s="97">
        <f t="shared" si="128"/>
        <v>5828.2755393934167</v>
      </c>
      <c r="AD416" s="96"/>
      <c r="AE416" s="105">
        <f t="shared" si="120"/>
        <v>2.6143472808312254</v>
      </c>
    </row>
    <row r="417" spans="5:31" x14ac:dyDescent="0.35">
      <c r="E417" s="100">
        <f t="shared" si="111"/>
        <v>1.2881944444444895</v>
      </c>
      <c r="F417" s="5">
        <v>20</v>
      </c>
      <c r="G417" s="5">
        <f t="shared" si="124"/>
        <v>140</v>
      </c>
      <c r="H417" s="106">
        <f t="shared" si="124"/>
        <v>3.8194444444444443E-3</v>
      </c>
      <c r="I417" s="110">
        <f t="shared" si="121"/>
        <v>1.7687499999999998E-2</v>
      </c>
      <c r="J417" s="5">
        <v>1.05</v>
      </c>
      <c r="K417" s="5">
        <v>0</v>
      </c>
      <c r="L417" s="5">
        <v>0</v>
      </c>
      <c r="N417" s="5">
        <f t="shared" si="113"/>
        <v>140</v>
      </c>
      <c r="O417" s="97">
        <f t="shared" si="114"/>
        <v>181.81818181818184</v>
      </c>
      <c r="P417" s="5">
        <f t="shared" si="115"/>
        <v>1.03</v>
      </c>
      <c r="R417" s="96">
        <f t="shared" si="116"/>
        <v>4.1738118782419713</v>
      </c>
      <c r="S417" s="95">
        <f t="shared" si="117"/>
        <v>0.97469191321160886</v>
      </c>
      <c r="T417" s="96">
        <f t="shared" si="118"/>
        <v>60.099071555555561</v>
      </c>
      <c r="U417" s="97"/>
      <c r="V417" s="97">
        <f t="shared" si="122"/>
        <v>53.121242086716009</v>
      </c>
      <c r="W417" s="96">
        <f t="shared" si="112"/>
        <v>58.578079036725832</v>
      </c>
      <c r="X417" s="96">
        <f t="shared" si="125"/>
        <v>0.77381467880694299</v>
      </c>
      <c r="Y417" s="96">
        <f t="shared" si="119"/>
        <v>0.81892463811053795</v>
      </c>
      <c r="Z417" s="96">
        <f t="shared" si="123"/>
        <v>453.43327191894178</v>
      </c>
      <c r="AA417" s="97">
        <f t="shared" si="126"/>
        <v>-46.873271918941398</v>
      </c>
      <c r="AB417" s="97">
        <f t="shared" si="127"/>
        <v>253.12672808105879</v>
      </c>
      <c r="AC417" s="97">
        <f t="shared" si="128"/>
        <v>5842.2760362951194</v>
      </c>
      <c r="AD417" s="96"/>
      <c r="AE417" s="105">
        <f t="shared" si="120"/>
        <v>3.4332719189417844</v>
      </c>
    </row>
    <row r="418" spans="5:31" x14ac:dyDescent="0.35">
      <c r="E418" s="100">
        <f t="shared" si="111"/>
        <v>1.288888888888934</v>
      </c>
      <c r="F418" s="5">
        <v>20</v>
      </c>
      <c r="G418" s="5">
        <f t="shared" si="124"/>
        <v>140</v>
      </c>
      <c r="H418" s="106">
        <f t="shared" si="124"/>
        <v>3.8194444444444443E-3</v>
      </c>
      <c r="I418" s="110">
        <f t="shared" si="121"/>
        <v>1.7687499999999998E-2</v>
      </c>
      <c r="J418" s="5">
        <v>1.05</v>
      </c>
      <c r="K418" s="5">
        <v>0</v>
      </c>
      <c r="L418" s="5">
        <v>0</v>
      </c>
      <c r="N418" s="5">
        <f t="shared" si="113"/>
        <v>140</v>
      </c>
      <c r="O418" s="97">
        <f t="shared" si="114"/>
        <v>181.81818181818184</v>
      </c>
      <c r="P418" s="5">
        <f t="shared" si="115"/>
        <v>1.03</v>
      </c>
      <c r="R418" s="96">
        <f t="shared" si="116"/>
        <v>4.1738118782419713</v>
      </c>
      <c r="S418" s="95">
        <f t="shared" si="117"/>
        <v>0.97455611067283232</v>
      </c>
      <c r="T418" s="96">
        <f t="shared" si="118"/>
        <v>60.099071555555561</v>
      </c>
      <c r="U418" s="97"/>
      <c r="V418" s="97">
        <f t="shared" si="122"/>
        <v>53.121242086716009</v>
      </c>
      <c r="W418" s="96">
        <f t="shared" si="112"/>
        <v>58.569917430230475</v>
      </c>
      <c r="X418" s="96">
        <f t="shared" si="125"/>
        <v>0.77321039557339044</v>
      </c>
      <c r="Y418" s="96">
        <f t="shared" si="119"/>
        <v>0.81210735298636194</v>
      </c>
      <c r="Z418" s="96">
        <f t="shared" si="123"/>
        <v>454.24537927192813</v>
      </c>
      <c r="AA418" s="97">
        <f t="shared" si="126"/>
        <v>-47.685379271927758</v>
      </c>
      <c r="AB418" s="97">
        <f t="shared" si="127"/>
        <v>252.31462072807241</v>
      </c>
      <c r="AC418" s="97">
        <f t="shared" si="128"/>
        <v>5856.2745825260545</v>
      </c>
      <c r="AD418" s="96"/>
      <c r="AE418" s="105">
        <f t="shared" si="120"/>
        <v>4.2453792719281296</v>
      </c>
    </row>
    <row r="419" spans="5:31" x14ac:dyDescent="0.35">
      <c r="E419" s="100">
        <f t="shared" si="111"/>
        <v>1.2895833333333786</v>
      </c>
      <c r="F419" s="5">
        <v>20</v>
      </c>
      <c r="G419" s="5">
        <f t="shared" si="124"/>
        <v>140</v>
      </c>
      <c r="H419" s="106">
        <f t="shared" si="124"/>
        <v>3.8194444444444443E-3</v>
      </c>
      <c r="I419" s="110">
        <f t="shared" si="121"/>
        <v>1.7687499999999998E-2</v>
      </c>
      <c r="J419" s="5">
        <v>1.05</v>
      </c>
      <c r="K419" s="5">
        <v>0</v>
      </c>
      <c r="L419" s="5">
        <v>0</v>
      </c>
      <c r="N419" s="5">
        <f t="shared" si="113"/>
        <v>140</v>
      </c>
      <c r="O419" s="97">
        <f t="shared" si="114"/>
        <v>181.81818181818184</v>
      </c>
      <c r="P419" s="5">
        <f t="shared" si="115"/>
        <v>1.03</v>
      </c>
      <c r="R419" s="96">
        <f t="shared" si="116"/>
        <v>4.1738118782419713</v>
      </c>
      <c r="S419" s="95">
        <f t="shared" si="117"/>
        <v>0.97442143864666253</v>
      </c>
      <c r="T419" s="96">
        <f t="shared" si="118"/>
        <v>60.099071555555561</v>
      </c>
      <c r="U419" s="97"/>
      <c r="V419" s="97">
        <f t="shared" si="122"/>
        <v>53.121242086716009</v>
      </c>
      <c r="W419" s="96">
        <f t="shared" si="112"/>
        <v>58.561823766493163</v>
      </c>
      <c r="X419" s="96">
        <f t="shared" si="125"/>
        <v>0.77261114280406751</v>
      </c>
      <c r="Y419" s="96">
        <f t="shared" si="119"/>
        <v>0.80534866446505149</v>
      </c>
      <c r="Z419" s="96">
        <f t="shared" si="123"/>
        <v>455.05072793639317</v>
      </c>
      <c r="AA419" s="97">
        <f t="shared" si="126"/>
        <v>-48.490727936392808</v>
      </c>
      <c r="AB419" s="97">
        <f t="shared" si="127"/>
        <v>251.50927206360737</v>
      </c>
      <c r="AC419" s="97">
        <f t="shared" si="128"/>
        <v>5870.2711943249296</v>
      </c>
      <c r="AD419" s="96"/>
      <c r="AE419" s="105">
        <f t="shared" si="120"/>
        <v>5.050727936393173</v>
      </c>
    </row>
    <row r="420" spans="5:31" x14ac:dyDescent="0.35">
      <c r="E420" s="100">
        <f t="shared" si="111"/>
        <v>1.2902777777778232</v>
      </c>
      <c r="F420" s="5">
        <v>20</v>
      </c>
      <c r="G420" s="5">
        <f t="shared" si="124"/>
        <v>140</v>
      </c>
      <c r="H420" s="106">
        <f t="shared" si="124"/>
        <v>3.8194444444444443E-3</v>
      </c>
      <c r="I420" s="110">
        <f t="shared" si="121"/>
        <v>1.7687499999999998E-2</v>
      </c>
      <c r="J420" s="5">
        <v>1.05</v>
      </c>
      <c r="K420" s="5">
        <v>0</v>
      </c>
      <c r="L420" s="5">
        <v>0</v>
      </c>
      <c r="N420" s="5">
        <f t="shared" si="113"/>
        <v>140</v>
      </c>
      <c r="O420" s="97">
        <f t="shared" si="114"/>
        <v>181.81818181818184</v>
      </c>
      <c r="P420" s="5">
        <f t="shared" si="115"/>
        <v>1.03</v>
      </c>
      <c r="R420" s="96">
        <f t="shared" si="116"/>
        <v>4.1738118782419713</v>
      </c>
      <c r="S420" s="95">
        <f t="shared" si="117"/>
        <v>0.97428788741600614</v>
      </c>
      <c r="T420" s="96">
        <f t="shared" si="118"/>
        <v>60.099071555555561</v>
      </c>
      <c r="U420" s="97"/>
      <c r="V420" s="97">
        <f t="shared" si="122"/>
        <v>53.121242086716009</v>
      </c>
      <c r="W420" s="96">
        <f t="shared" si="112"/>
        <v>58.553797461525612</v>
      </c>
      <c r="X420" s="96">
        <f t="shared" si="125"/>
        <v>0.77201687726063106</v>
      </c>
      <c r="Y420" s="96">
        <f t="shared" si="119"/>
        <v>0.79864803881260282</v>
      </c>
      <c r="Z420" s="96">
        <f t="shared" si="123"/>
        <v>455.84937597520576</v>
      </c>
      <c r="AA420" s="97">
        <f t="shared" si="126"/>
        <v>-49.289375975205409</v>
      </c>
      <c r="AB420" s="97">
        <f t="shared" si="127"/>
        <v>250.71062402479475</v>
      </c>
      <c r="AC420" s="97">
        <f t="shared" si="128"/>
        <v>5884.2658877908771</v>
      </c>
      <c r="AD420" s="96"/>
      <c r="AE420" s="105">
        <f t="shared" si="120"/>
        <v>5.8493759752057599</v>
      </c>
    </row>
    <row r="421" spans="5:31" x14ac:dyDescent="0.35">
      <c r="E421" s="100">
        <f t="shared" si="111"/>
        <v>1.2909722222222677</v>
      </c>
      <c r="F421" s="5">
        <v>20</v>
      </c>
      <c r="G421" s="5">
        <f t="shared" si="124"/>
        <v>140</v>
      </c>
      <c r="H421" s="106">
        <f t="shared" si="124"/>
        <v>3.8194444444444443E-3</v>
      </c>
      <c r="I421" s="110">
        <f t="shared" si="121"/>
        <v>1.7687499999999998E-2</v>
      </c>
      <c r="J421" s="5">
        <v>1.05</v>
      </c>
      <c r="K421" s="5">
        <v>0</v>
      </c>
      <c r="L421" s="5">
        <v>0</v>
      </c>
      <c r="N421" s="5">
        <f t="shared" si="113"/>
        <v>140</v>
      </c>
      <c r="O421" s="97">
        <f t="shared" si="114"/>
        <v>181.81818181818184</v>
      </c>
      <c r="P421" s="5">
        <f t="shared" si="115"/>
        <v>1.03</v>
      </c>
      <c r="R421" s="96">
        <f t="shared" si="116"/>
        <v>4.1738118782419713</v>
      </c>
      <c r="S421" s="95">
        <f t="shared" si="117"/>
        <v>0.97415544735227821</v>
      </c>
      <c r="T421" s="96">
        <f t="shared" si="118"/>
        <v>60.099071555555561</v>
      </c>
      <c r="U421" s="97"/>
      <c r="V421" s="97">
        <f t="shared" si="122"/>
        <v>53.121242086716009</v>
      </c>
      <c r="W421" s="96">
        <f t="shared" si="112"/>
        <v>58.545837936658806</v>
      </c>
      <c r="X421" s="96">
        <f t="shared" si="125"/>
        <v>0.77142755609857927</v>
      </c>
      <c r="Y421" s="96">
        <f t="shared" si="119"/>
        <v>0.79200494764375573</v>
      </c>
      <c r="Z421" s="96">
        <f t="shared" si="123"/>
        <v>456.64138092284952</v>
      </c>
      <c r="AA421" s="97">
        <f t="shared" si="126"/>
        <v>-50.081380922849164</v>
      </c>
      <c r="AB421" s="97">
        <f t="shared" si="127"/>
        <v>249.91861907715099</v>
      </c>
      <c r="AC421" s="97">
        <f t="shared" si="128"/>
        <v>5898.2586788847248</v>
      </c>
      <c r="AD421" s="96"/>
      <c r="AE421" s="105">
        <f t="shared" si="120"/>
        <v>6.6413809228495211</v>
      </c>
    </row>
    <row r="422" spans="5:31" x14ac:dyDescent="0.35">
      <c r="E422" s="100">
        <f t="shared" si="111"/>
        <v>1.2916666666667123</v>
      </c>
      <c r="F422" s="5">
        <v>20</v>
      </c>
      <c r="G422" s="5">
        <f t="shared" si="124"/>
        <v>140</v>
      </c>
      <c r="H422" s="106">
        <f t="shared" si="124"/>
        <v>3.8194444444444443E-3</v>
      </c>
      <c r="I422" s="110">
        <f t="shared" si="121"/>
        <v>1.7687499999999998E-2</v>
      </c>
      <c r="J422" s="5">
        <v>1.05</v>
      </c>
      <c r="K422" s="5">
        <v>0</v>
      </c>
      <c r="L422" s="5">
        <v>0</v>
      </c>
      <c r="N422" s="5">
        <f t="shared" si="113"/>
        <v>140</v>
      </c>
      <c r="O422" s="97">
        <f t="shared" si="114"/>
        <v>181.81818181818184</v>
      </c>
      <c r="P422" s="5">
        <f t="shared" si="115"/>
        <v>1.0349999999999999</v>
      </c>
      <c r="R422" s="96">
        <f t="shared" si="116"/>
        <v>4.1940731009518828</v>
      </c>
      <c r="S422" s="95">
        <f t="shared" si="117"/>
        <v>0.97402410891451707</v>
      </c>
      <c r="T422" s="96">
        <f t="shared" si="118"/>
        <v>60.099071555555561</v>
      </c>
      <c r="U422" s="97"/>
      <c r="V422" s="97">
        <f t="shared" si="122"/>
        <v>53.379112193933061</v>
      </c>
      <c r="W422" s="96">
        <f t="shared" si="112"/>
        <v>58.537944618489803</v>
      </c>
      <c r="X422" s="96">
        <f t="shared" si="125"/>
        <v>0.77084313686330497</v>
      </c>
      <c r="Y422" s="96">
        <f t="shared" si="119"/>
        <v>0.78541886786065185</v>
      </c>
      <c r="Z422" s="96">
        <f t="shared" si="123"/>
        <v>457.42679979071016</v>
      </c>
      <c r="AA422" s="97">
        <f t="shared" si="126"/>
        <v>-50.866799790709813</v>
      </c>
      <c r="AB422" s="97">
        <f t="shared" si="127"/>
        <v>249.13320020929035</v>
      </c>
      <c r="AC422" s="97">
        <f t="shared" si="128"/>
        <v>5912.2495834302526</v>
      </c>
      <c r="AD422" s="96"/>
      <c r="AE422" s="105">
        <f t="shared" si="120"/>
        <v>7.4267997907101631</v>
      </c>
    </row>
    <row r="423" spans="5:31" x14ac:dyDescent="0.35">
      <c r="E423" s="100">
        <f t="shared" si="111"/>
        <v>1.2923611111111568</v>
      </c>
      <c r="F423" s="5">
        <v>20</v>
      </c>
      <c r="G423" s="5">
        <f t="shared" si="124"/>
        <v>140</v>
      </c>
      <c r="H423" s="106">
        <f t="shared" si="124"/>
        <v>3.8194444444444443E-3</v>
      </c>
      <c r="I423" s="110">
        <f t="shared" si="121"/>
        <v>1.7687499999999998E-2</v>
      </c>
      <c r="J423" s="5">
        <v>1.05</v>
      </c>
      <c r="K423" s="5">
        <v>0</v>
      </c>
      <c r="L423" s="5">
        <v>0</v>
      </c>
      <c r="N423" s="5">
        <f t="shared" si="113"/>
        <v>140</v>
      </c>
      <c r="O423" s="97">
        <f t="shared" si="114"/>
        <v>181.81818181818184</v>
      </c>
      <c r="P423" s="5">
        <f t="shared" si="115"/>
        <v>1.0349999999999999</v>
      </c>
      <c r="R423" s="96">
        <f t="shared" si="116"/>
        <v>4.1940731009518828</v>
      </c>
      <c r="S423" s="95">
        <f t="shared" si="117"/>
        <v>0.97389386264850597</v>
      </c>
      <c r="T423" s="96">
        <f t="shared" si="118"/>
        <v>60.099071555555561</v>
      </c>
      <c r="U423" s="97"/>
      <c r="V423" s="97">
        <f t="shared" si="122"/>
        <v>53.379112193933061</v>
      </c>
      <c r="W423" s="96">
        <f t="shared" si="112"/>
        <v>58.530116938828961</v>
      </c>
      <c r="X423" s="96">
        <f t="shared" si="125"/>
        <v>0.77026357748619412</v>
      </c>
      <c r="Y423" s="96">
        <f t="shared" si="119"/>
        <v>0.77888928159231319</v>
      </c>
      <c r="Z423" s="96">
        <f t="shared" si="123"/>
        <v>458.20568907230245</v>
      </c>
      <c r="AA423" s="97">
        <f t="shared" si="126"/>
        <v>-51.645689072302126</v>
      </c>
      <c r="AB423" s="97">
        <f t="shared" si="127"/>
        <v>248.35431092769804</v>
      </c>
      <c r="AC423" s="97">
        <f t="shared" si="128"/>
        <v>5926.2386171154412</v>
      </c>
      <c r="AD423" s="96"/>
      <c r="AE423" s="105">
        <f t="shared" si="120"/>
        <v>8.205689072302448</v>
      </c>
    </row>
    <row r="424" spans="5:31" x14ac:dyDescent="0.35">
      <c r="E424" s="100">
        <f t="shared" si="111"/>
        <v>1.2930555555556014</v>
      </c>
      <c r="F424" s="5">
        <v>20</v>
      </c>
      <c r="G424" s="5">
        <f t="shared" si="124"/>
        <v>140</v>
      </c>
      <c r="H424" s="106">
        <f t="shared" si="124"/>
        <v>3.8194444444444443E-3</v>
      </c>
      <c r="I424" s="110">
        <f t="shared" si="121"/>
        <v>1.7687499999999998E-2</v>
      </c>
      <c r="J424" s="5">
        <v>1.05</v>
      </c>
      <c r="K424" s="5">
        <v>0</v>
      </c>
      <c r="L424" s="5">
        <v>0</v>
      </c>
      <c r="N424" s="5">
        <f t="shared" si="113"/>
        <v>140</v>
      </c>
      <c r="O424" s="97">
        <f t="shared" si="114"/>
        <v>181.81818181818184</v>
      </c>
      <c r="P424" s="5">
        <f t="shared" si="115"/>
        <v>1.0349999999999999</v>
      </c>
      <c r="R424" s="96">
        <f t="shared" si="116"/>
        <v>4.1940731009518828</v>
      </c>
      <c r="S424" s="95">
        <f t="shared" si="117"/>
        <v>0.97376469918590691</v>
      </c>
      <c r="T424" s="96">
        <f t="shared" si="118"/>
        <v>60.099071555555561</v>
      </c>
      <c r="U424" s="97"/>
      <c r="V424" s="97">
        <f t="shared" si="122"/>
        <v>53.379112193933061</v>
      </c>
      <c r="W424" s="96">
        <f t="shared" si="112"/>
        <v>58.522354334647858</v>
      </c>
      <c r="X424" s="96">
        <f t="shared" si="125"/>
        <v>0.76968883628076878</v>
      </c>
      <c r="Y424" s="96">
        <f t="shared" si="119"/>
        <v>0.77241567613492734</v>
      </c>
      <c r="Z424" s="96">
        <f t="shared" si="123"/>
        <v>458.97810474843737</v>
      </c>
      <c r="AA424" s="97">
        <f t="shared" si="126"/>
        <v>-52.418104748437052</v>
      </c>
      <c r="AB424" s="97">
        <f t="shared" si="127"/>
        <v>247.58189525156311</v>
      </c>
      <c r="AC424" s="97">
        <f t="shared" si="128"/>
        <v>5940.2257954937031</v>
      </c>
      <c r="AD424" s="96"/>
      <c r="AE424" s="105">
        <f t="shared" si="120"/>
        <v>8.9781047484373744</v>
      </c>
    </row>
    <row r="425" spans="5:31" x14ac:dyDescent="0.35">
      <c r="E425" s="100">
        <f t="shared" si="111"/>
        <v>1.2937500000000459</v>
      </c>
      <c r="F425" s="5">
        <v>20</v>
      </c>
      <c r="G425" s="5">
        <f t="shared" si="124"/>
        <v>140</v>
      </c>
      <c r="H425" s="106">
        <f t="shared" si="124"/>
        <v>3.8194444444444443E-3</v>
      </c>
      <c r="I425" s="110">
        <f t="shared" si="121"/>
        <v>1.7687499999999998E-2</v>
      </c>
      <c r="J425" s="5">
        <v>1.05</v>
      </c>
      <c r="K425" s="5">
        <v>0</v>
      </c>
      <c r="L425" s="5">
        <v>0</v>
      </c>
      <c r="N425" s="5">
        <f t="shared" si="113"/>
        <v>140</v>
      </c>
      <c r="O425" s="97">
        <f t="shared" si="114"/>
        <v>181.81818181818184</v>
      </c>
      <c r="P425" s="5">
        <f t="shared" si="115"/>
        <v>1.0349999999999999</v>
      </c>
      <c r="R425" s="96">
        <f t="shared" si="116"/>
        <v>4.1940731009518828</v>
      </c>
      <c r="S425" s="95">
        <f t="shared" si="117"/>
        <v>0.97363660924340401</v>
      </c>
      <c r="T425" s="96">
        <f t="shared" si="118"/>
        <v>60.099071555555561</v>
      </c>
      <c r="U425" s="97"/>
      <c r="V425" s="97">
        <f t="shared" si="122"/>
        <v>53.379112193933061</v>
      </c>
      <c r="W425" s="96">
        <f t="shared" si="112"/>
        <v>58.514656248027826</v>
      </c>
      <c r="X425" s="96">
        <f t="shared" si="125"/>
        <v>0.76911887193887463</v>
      </c>
      <c r="Y425" s="96">
        <f t="shared" si="119"/>
        <v>0.76599754389293717</v>
      </c>
      <c r="Z425" s="96">
        <f t="shared" si="123"/>
        <v>459.7441022923303</v>
      </c>
      <c r="AA425" s="97">
        <f t="shared" si="126"/>
        <v>-53.184102292329989</v>
      </c>
      <c r="AB425" s="97">
        <f t="shared" si="127"/>
        <v>246.81589770767016</v>
      </c>
      <c r="AC425" s="97">
        <f t="shared" si="128"/>
        <v>5954.2111339851053</v>
      </c>
      <c r="AD425" s="96"/>
      <c r="AE425" s="105">
        <f t="shared" si="120"/>
        <v>9.7441022923302967</v>
      </c>
    </row>
    <row r="426" spans="5:31" x14ac:dyDescent="0.35">
      <c r="E426" s="100">
        <f t="shared" si="111"/>
        <v>1.2944444444444905</v>
      </c>
      <c r="F426" s="5">
        <v>20</v>
      </c>
      <c r="G426" s="5">
        <f t="shared" si="124"/>
        <v>140</v>
      </c>
      <c r="H426" s="106">
        <f t="shared" si="124"/>
        <v>3.8194444444444443E-3</v>
      </c>
      <c r="I426" s="110">
        <f t="shared" si="121"/>
        <v>1.7687499999999998E-2</v>
      </c>
      <c r="J426" s="5">
        <v>1.05</v>
      </c>
      <c r="K426" s="5">
        <v>0</v>
      </c>
      <c r="L426" s="5">
        <v>0</v>
      </c>
      <c r="N426" s="5">
        <f t="shared" si="113"/>
        <v>140</v>
      </c>
      <c r="O426" s="97">
        <f t="shared" si="114"/>
        <v>181.81818181818184</v>
      </c>
      <c r="P426" s="5">
        <f t="shared" si="115"/>
        <v>1.0349999999999999</v>
      </c>
      <c r="R426" s="96">
        <f t="shared" si="116"/>
        <v>4.1940731009518828</v>
      </c>
      <c r="S426" s="95">
        <f t="shared" si="117"/>
        <v>0.97350958362185569</v>
      </c>
      <c r="T426" s="96">
        <f t="shared" si="118"/>
        <v>60.099071555555561</v>
      </c>
      <c r="U426" s="97"/>
      <c r="V426" s="97">
        <f t="shared" si="122"/>
        <v>53.379112193933061</v>
      </c>
      <c r="W426" s="96">
        <f t="shared" si="112"/>
        <v>58.507022126109007</v>
      </c>
      <c r="X426" s="96">
        <f t="shared" si="125"/>
        <v>0.76855364352691113</v>
      </c>
      <c r="Y426" s="96">
        <f t="shared" si="119"/>
        <v>0.75963438232090563</v>
      </c>
      <c r="Z426" s="96">
        <f t="shared" si="123"/>
        <v>460.50373667465118</v>
      </c>
      <c r="AA426" s="97">
        <f t="shared" si="126"/>
        <v>-53.943736674650893</v>
      </c>
      <c r="AB426" s="97">
        <f t="shared" si="127"/>
        <v>246.05626332534925</v>
      </c>
      <c r="AC426" s="97">
        <f t="shared" si="128"/>
        <v>5968.194647877579</v>
      </c>
      <c r="AD426" s="96"/>
      <c r="AE426" s="105">
        <f t="shared" si="120"/>
        <v>10.503736674651179</v>
      </c>
    </row>
    <row r="427" spans="5:31" x14ac:dyDescent="0.35">
      <c r="E427" s="100">
        <f t="shared" si="111"/>
        <v>1.295138888888935</v>
      </c>
      <c r="F427" s="5">
        <v>20</v>
      </c>
      <c r="G427" s="5">
        <f t="shared" si="124"/>
        <v>140</v>
      </c>
      <c r="H427" s="106">
        <f t="shared" si="124"/>
        <v>3.8194444444444443E-3</v>
      </c>
      <c r="I427" s="110">
        <f t="shared" si="121"/>
        <v>1.7687499999999998E-2</v>
      </c>
      <c r="J427" s="5">
        <v>1.05</v>
      </c>
      <c r="K427" s="5">
        <v>0</v>
      </c>
      <c r="L427" s="5">
        <v>0</v>
      </c>
      <c r="N427" s="5">
        <f t="shared" si="113"/>
        <v>140</v>
      </c>
      <c r="O427" s="97">
        <f t="shared" si="114"/>
        <v>181.81818181818184</v>
      </c>
      <c r="P427" s="5">
        <f t="shared" si="115"/>
        <v>1.0349999999999999</v>
      </c>
      <c r="R427" s="96">
        <f t="shared" si="116"/>
        <v>4.1940731009518828</v>
      </c>
      <c r="S427" s="95">
        <f t="shared" si="117"/>
        <v>0.97338361320545796</v>
      </c>
      <c r="T427" s="96">
        <f t="shared" si="118"/>
        <v>60.099071555555561</v>
      </c>
      <c r="U427" s="97"/>
      <c r="V427" s="97">
        <f t="shared" si="122"/>
        <v>53.379112193933061</v>
      </c>
      <c r="W427" s="96">
        <f t="shared" si="112"/>
        <v>58.499451421040035</v>
      </c>
      <c r="X427" s="96">
        <f t="shared" si="125"/>
        <v>0.76799311048210528</v>
      </c>
      <c r="Y427" s="96">
        <f t="shared" si="119"/>
        <v>0.75332569386616066</v>
      </c>
      <c r="Z427" s="96">
        <f t="shared" si="123"/>
        <v>461.25706236851732</v>
      </c>
      <c r="AA427" s="97">
        <f t="shared" si="126"/>
        <v>-54.697062368517052</v>
      </c>
      <c r="AB427" s="97">
        <f t="shared" si="127"/>
        <v>245.30293763148308</v>
      </c>
      <c r="AC427" s="97">
        <f t="shared" si="128"/>
        <v>5982.1763523281143</v>
      </c>
      <c r="AD427" s="96"/>
      <c r="AE427" s="105">
        <f t="shared" si="120"/>
        <v>11.257062368517325</v>
      </c>
    </row>
    <row r="428" spans="5:31" x14ac:dyDescent="0.35">
      <c r="E428" s="100">
        <f t="shared" si="111"/>
        <v>1.2958333333333796</v>
      </c>
      <c r="F428" s="5">
        <v>20</v>
      </c>
      <c r="G428" s="5">
        <f t="shared" si="124"/>
        <v>140</v>
      </c>
      <c r="H428" s="106">
        <f t="shared" si="124"/>
        <v>3.8194444444444443E-3</v>
      </c>
      <c r="I428" s="110">
        <f t="shared" si="121"/>
        <v>1.7687499999999998E-2</v>
      </c>
      <c r="J428" s="5">
        <v>1.05</v>
      </c>
      <c r="K428" s="5">
        <v>0</v>
      </c>
      <c r="L428" s="5">
        <v>0</v>
      </c>
      <c r="N428" s="5">
        <f t="shared" si="113"/>
        <v>140</v>
      </c>
      <c r="O428" s="97">
        <f t="shared" si="114"/>
        <v>181.81818181818184</v>
      </c>
      <c r="P428" s="5">
        <f t="shared" si="115"/>
        <v>1.0349999999999999</v>
      </c>
      <c r="R428" s="96">
        <f t="shared" si="116"/>
        <v>4.1940731009518828</v>
      </c>
      <c r="S428" s="95">
        <f t="shared" si="117"/>
        <v>0.97325868896091616</v>
      </c>
      <c r="T428" s="96">
        <f t="shared" si="118"/>
        <v>60.099071555555561</v>
      </c>
      <c r="U428" s="97"/>
      <c r="V428" s="97">
        <f t="shared" si="122"/>
        <v>53.379112193933061</v>
      </c>
      <c r="W428" s="96">
        <f t="shared" si="112"/>
        <v>58.49194358992829</v>
      </c>
      <c r="X428" s="96">
        <f t="shared" si="125"/>
        <v>0.76743723260882746</v>
      </c>
      <c r="Y428" s="96">
        <f t="shared" si="119"/>
        <v>0.747070985912199</v>
      </c>
      <c r="Z428" s="96">
        <f t="shared" si="123"/>
        <v>462.00413335442954</v>
      </c>
      <c r="AA428" s="97">
        <f t="shared" si="126"/>
        <v>-55.444133354429255</v>
      </c>
      <c r="AB428" s="97">
        <f t="shared" si="127"/>
        <v>244.55586664557089</v>
      </c>
      <c r="AC428" s="97">
        <f t="shared" si="128"/>
        <v>5996.1562623639484</v>
      </c>
      <c r="AD428" s="96"/>
      <c r="AE428" s="105">
        <f t="shared" si="120"/>
        <v>12.004133354429541</v>
      </c>
    </row>
    <row r="429" spans="5:31" x14ac:dyDescent="0.35">
      <c r="E429" s="100">
        <f t="shared" si="111"/>
        <v>1.2965277777778241</v>
      </c>
      <c r="F429" s="5">
        <v>20</v>
      </c>
      <c r="G429" s="5">
        <f t="shared" si="124"/>
        <v>140</v>
      </c>
      <c r="H429" s="106">
        <f t="shared" si="124"/>
        <v>3.8194444444444443E-3</v>
      </c>
      <c r="I429" s="110">
        <f t="shared" si="121"/>
        <v>1.7687499999999998E-2</v>
      </c>
      <c r="J429" s="5">
        <v>1.05</v>
      </c>
      <c r="K429" s="5">
        <v>0</v>
      </c>
      <c r="L429" s="5">
        <v>0</v>
      </c>
      <c r="N429" s="5">
        <f t="shared" si="113"/>
        <v>140</v>
      </c>
      <c r="O429" s="97">
        <f t="shared" si="114"/>
        <v>181.81818181818184</v>
      </c>
      <c r="P429" s="5">
        <f t="shared" si="115"/>
        <v>1.0349999999999999</v>
      </c>
      <c r="R429" s="96">
        <f t="shared" si="116"/>
        <v>4.1940731009518828</v>
      </c>
      <c r="S429" s="95">
        <f t="shared" si="117"/>
        <v>0.97313480193662638</v>
      </c>
      <c r="T429" s="96">
        <f t="shared" si="118"/>
        <v>60.099071555555561</v>
      </c>
      <c r="U429" s="97"/>
      <c r="V429" s="97">
        <f t="shared" si="122"/>
        <v>53.379112193933061</v>
      </c>
      <c r="W429" s="96">
        <f t="shared" si="112"/>
        <v>58.484498094790695</v>
      </c>
      <c r="X429" s="96">
        <f t="shared" si="125"/>
        <v>0.76688597007494885</v>
      </c>
      <c r="Y429" s="96">
        <f t="shared" si="119"/>
        <v>0.74086977072283633</v>
      </c>
      <c r="Z429" s="96">
        <f t="shared" si="123"/>
        <v>462.74500312515238</v>
      </c>
      <c r="AA429" s="97">
        <f t="shared" si="126"/>
        <v>-56.185003125152093</v>
      </c>
      <c r="AB429" s="97">
        <f t="shared" si="127"/>
        <v>243.81499687484805</v>
      </c>
      <c r="AC429" s="97">
        <f t="shared" si="128"/>
        <v>6010.1343928837359</v>
      </c>
      <c r="AD429" s="96"/>
      <c r="AE429" s="105">
        <f t="shared" si="120"/>
        <v>12.74500312515238</v>
      </c>
    </row>
    <row r="430" spans="5:31" x14ac:dyDescent="0.35">
      <c r="E430" s="100">
        <f t="shared" si="111"/>
        <v>1.2972222222222687</v>
      </c>
      <c r="F430" s="5">
        <v>20</v>
      </c>
      <c r="G430" s="5">
        <f t="shared" si="124"/>
        <v>140</v>
      </c>
      <c r="H430" s="106">
        <f t="shared" si="124"/>
        <v>3.8194444444444443E-3</v>
      </c>
      <c r="I430" s="110">
        <f t="shared" si="121"/>
        <v>1.7687499999999998E-2</v>
      </c>
      <c r="J430" s="5">
        <v>1.05</v>
      </c>
      <c r="K430" s="5">
        <v>0</v>
      </c>
      <c r="L430" s="5">
        <v>0</v>
      </c>
      <c r="N430" s="5">
        <f t="shared" si="113"/>
        <v>140</v>
      </c>
      <c r="O430" s="97">
        <f t="shared" si="114"/>
        <v>181.81818181818184</v>
      </c>
      <c r="P430" s="5">
        <f t="shared" si="115"/>
        <v>1.0349999999999999</v>
      </c>
      <c r="R430" s="96">
        <f t="shared" si="116"/>
        <v>4.1940731009518828</v>
      </c>
      <c r="S430" s="95">
        <f t="shared" si="117"/>
        <v>0.97301194326186602</v>
      </c>
      <c r="T430" s="96">
        <f t="shared" si="118"/>
        <v>60.099071555555561</v>
      </c>
      <c r="U430" s="97"/>
      <c r="V430" s="97">
        <f t="shared" si="122"/>
        <v>53.379112193933061</v>
      </c>
      <c r="W430" s="96">
        <f t="shared" si="112"/>
        <v>58.477114402505052</v>
      </c>
      <c r="X430" s="96">
        <f t="shared" si="125"/>
        <v>0.76633928340824076</v>
      </c>
      <c r="Y430" s="96">
        <f t="shared" si="119"/>
        <v>0.73472156538710276</v>
      </c>
      <c r="Z430" s="96">
        <f t="shared" si="123"/>
        <v>463.47972469053946</v>
      </c>
      <c r="AA430" s="97">
        <f t="shared" si="126"/>
        <v>-56.919724690539198</v>
      </c>
      <c r="AB430" s="97">
        <f t="shared" si="127"/>
        <v>243.08027530946094</v>
      </c>
      <c r="AC430" s="97">
        <f t="shared" si="128"/>
        <v>6024.1107586587132</v>
      </c>
      <c r="AD430" s="96"/>
      <c r="AE430" s="105">
        <f t="shared" si="120"/>
        <v>13.479724690539456</v>
      </c>
    </row>
    <row r="431" spans="5:31" x14ac:dyDescent="0.35">
      <c r="E431" s="100">
        <f t="shared" si="111"/>
        <v>1.2979166666667132</v>
      </c>
      <c r="F431" s="5">
        <v>20</v>
      </c>
      <c r="G431" s="5">
        <f t="shared" si="124"/>
        <v>140</v>
      </c>
      <c r="H431" s="106">
        <f t="shared" si="124"/>
        <v>3.8194444444444443E-3</v>
      </c>
      <c r="I431" s="110">
        <f t="shared" si="121"/>
        <v>1.7687499999999998E-2</v>
      </c>
      <c r="J431" s="5">
        <v>1.05</v>
      </c>
      <c r="K431" s="5">
        <v>0</v>
      </c>
      <c r="L431" s="5">
        <v>0</v>
      </c>
      <c r="N431" s="5">
        <f t="shared" si="113"/>
        <v>140</v>
      </c>
      <c r="O431" s="97">
        <f t="shared" si="114"/>
        <v>181.81818181818184</v>
      </c>
      <c r="P431" s="5">
        <f t="shared" si="115"/>
        <v>1.0349999999999999</v>
      </c>
      <c r="R431" s="96">
        <f t="shared" si="116"/>
        <v>4.1940731009518828</v>
      </c>
      <c r="S431" s="95">
        <f t="shared" si="117"/>
        <v>0.97289010414599364</v>
      </c>
      <c r="T431" s="96">
        <f t="shared" si="118"/>
        <v>60.099071555555561</v>
      </c>
      <c r="U431" s="97"/>
      <c r="V431" s="97">
        <f t="shared" si="122"/>
        <v>53.379112193933061</v>
      </c>
      <c r="W431" s="96">
        <f t="shared" si="112"/>
        <v>58.469791984761976</v>
      </c>
      <c r="X431" s="96">
        <f t="shared" si="125"/>
        <v>0.76579713349281342</v>
      </c>
      <c r="Y431" s="96">
        <f t="shared" si="119"/>
        <v>0.72862589176485193</v>
      </c>
      <c r="Z431" s="96">
        <f t="shared" si="123"/>
        <v>464.20835058230432</v>
      </c>
      <c r="AA431" s="97">
        <f t="shared" si="126"/>
        <v>-57.648350582304047</v>
      </c>
      <c r="AB431" s="97">
        <f t="shared" si="127"/>
        <v>242.35164941769608</v>
      </c>
      <c r="AC431" s="97">
        <f t="shared" si="128"/>
        <v>6038.0853743338475</v>
      </c>
      <c r="AD431" s="96"/>
      <c r="AE431" s="105">
        <f t="shared" si="120"/>
        <v>14.20835058230432</v>
      </c>
    </row>
    <row r="432" spans="5:31" x14ac:dyDescent="0.35">
      <c r="E432" s="100">
        <f t="shared" si="111"/>
        <v>1.2986111111111578</v>
      </c>
      <c r="F432" s="5">
        <v>20</v>
      </c>
      <c r="G432" s="5">
        <f t="shared" si="124"/>
        <v>140</v>
      </c>
      <c r="H432" s="106">
        <f t="shared" si="124"/>
        <v>3.8194444444444443E-3</v>
      </c>
      <c r="I432" s="110">
        <f t="shared" si="121"/>
        <v>1.7687499999999998E-2</v>
      </c>
      <c r="J432" s="5">
        <v>1.05</v>
      </c>
      <c r="K432" s="5">
        <v>0</v>
      </c>
      <c r="L432" s="5">
        <v>0</v>
      </c>
      <c r="N432" s="5">
        <f t="shared" si="113"/>
        <v>140</v>
      </c>
      <c r="O432" s="97">
        <f t="shared" si="114"/>
        <v>181.81818181818184</v>
      </c>
      <c r="P432" s="5">
        <f t="shared" si="115"/>
        <v>1.0349999999999999</v>
      </c>
      <c r="R432" s="96">
        <f t="shared" si="116"/>
        <v>4.1940731009518828</v>
      </c>
      <c r="S432" s="95">
        <f t="shared" si="117"/>
        <v>0.97276927587765838</v>
      </c>
      <c r="T432" s="96">
        <f t="shared" si="118"/>
        <v>60.099071555555561</v>
      </c>
      <c r="U432" s="97"/>
      <c r="V432" s="97">
        <f t="shared" si="122"/>
        <v>53.379112193933061</v>
      </c>
      <c r="W432" s="96">
        <f t="shared" si="112"/>
        <v>58.462530318017357</v>
      </c>
      <c r="X432" s="96">
        <f t="shared" si="125"/>
        <v>0.7652594815655962</v>
      </c>
      <c r="Y432" s="96">
        <f t="shared" si="119"/>
        <v>0.72258227643309936</v>
      </c>
      <c r="Z432" s="96">
        <f t="shared" si="123"/>
        <v>464.93093285873744</v>
      </c>
      <c r="AA432" s="97">
        <f t="shared" si="126"/>
        <v>-58.370932858737149</v>
      </c>
      <c r="AB432" s="97">
        <f t="shared" si="127"/>
        <v>241.62906714126299</v>
      </c>
      <c r="AC432" s="97">
        <f t="shared" si="128"/>
        <v>6052.0582544289764</v>
      </c>
      <c r="AD432" s="96"/>
      <c r="AE432" s="105">
        <f t="shared" si="120"/>
        <v>14.930932858737435</v>
      </c>
    </row>
    <row r="433" spans="5:31" x14ac:dyDescent="0.35">
      <c r="E433" s="100">
        <f t="shared" si="111"/>
        <v>1.2993055555556023</v>
      </c>
      <c r="F433" s="5">
        <v>20</v>
      </c>
      <c r="G433" s="5">
        <f t="shared" si="124"/>
        <v>140</v>
      </c>
      <c r="H433" s="106">
        <f t="shared" si="124"/>
        <v>3.8194444444444443E-3</v>
      </c>
      <c r="I433" s="110">
        <f t="shared" si="121"/>
        <v>1.7687499999999998E-2</v>
      </c>
      <c r="J433" s="5">
        <v>1.05</v>
      </c>
      <c r="K433" s="5">
        <v>0</v>
      </c>
      <c r="L433" s="5">
        <v>0</v>
      </c>
      <c r="N433" s="5">
        <f t="shared" si="113"/>
        <v>140</v>
      </c>
      <c r="O433" s="97">
        <f t="shared" si="114"/>
        <v>181.81818181818184</v>
      </c>
      <c r="P433" s="5">
        <f t="shared" si="115"/>
        <v>1.0349999999999999</v>
      </c>
      <c r="R433" s="96">
        <f t="shared" si="116"/>
        <v>4.1940731009518828</v>
      </c>
      <c r="S433" s="95">
        <f t="shared" si="117"/>
        <v>0.97264944982401713</v>
      </c>
      <c r="T433" s="96">
        <f t="shared" si="118"/>
        <v>60.099071555555561</v>
      </c>
      <c r="U433" s="97"/>
      <c r="V433" s="97">
        <f t="shared" si="122"/>
        <v>53.379112193933061</v>
      </c>
      <c r="W433" s="96">
        <f t="shared" si="112"/>
        <v>58.455328883445354</v>
      </c>
      <c r="X433" s="96">
        <f t="shared" si="125"/>
        <v>0.76472628921285635</v>
      </c>
      <c r="Y433" s="96">
        <f t="shared" si="119"/>
        <v>0.71659025063305337</v>
      </c>
      <c r="Z433" s="96">
        <f t="shared" si="123"/>
        <v>465.64752310937047</v>
      </c>
      <c r="AA433" s="97">
        <f t="shared" si="126"/>
        <v>-59.087523109370203</v>
      </c>
      <c r="AB433" s="97">
        <f t="shared" si="127"/>
        <v>240.91247689062993</v>
      </c>
      <c r="AC433" s="97">
        <f t="shared" si="128"/>
        <v>6066.0294133399339</v>
      </c>
      <c r="AD433" s="96"/>
      <c r="AE433" s="105">
        <f t="shared" si="120"/>
        <v>15.647523109370468</v>
      </c>
    </row>
    <row r="434" spans="5:31" x14ac:dyDescent="0.35">
      <c r="E434" s="100">
        <f t="shared" si="111"/>
        <v>1.3000000000000469</v>
      </c>
      <c r="F434" s="5">
        <v>20</v>
      </c>
      <c r="G434" s="5">
        <f t="shared" si="124"/>
        <v>140</v>
      </c>
      <c r="H434" s="106">
        <f t="shared" si="124"/>
        <v>3.8194444444444443E-3</v>
      </c>
      <c r="I434" s="110">
        <f t="shared" si="121"/>
        <v>1.7687499999999998E-2</v>
      </c>
      <c r="J434" s="5">
        <v>1.05</v>
      </c>
      <c r="K434" s="5">
        <v>0</v>
      </c>
      <c r="L434" s="5">
        <v>0</v>
      </c>
      <c r="N434" s="5">
        <f t="shared" si="113"/>
        <v>140</v>
      </c>
      <c r="O434" s="97">
        <f t="shared" si="114"/>
        <v>181.81818181818184</v>
      </c>
      <c r="P434" s="5">
        <f t="shared" si="115"/>
        <v>1.0349999999999999</v>
      </c>
      <c r="R434" s="96">
        <f t="shared" si="116"/>
        <v>4.1940731009518828</v>
      </c>
      <c r="S434" s="95">
        <f t="shared" si="117"/>
        <v>0.97253061742996061</v>
      </c>
      <c r="T434" s="96">
        <f t="shared" si="118"/>
        <v>60.099071555555561</v>
      </c>
      <c r="U434" s="97"/>
      <c r="V434" s="97">
        <f t="shared" si="122"/>
        <v>53.379112193933061</v>
      </c>
      <c r="W434" s="96">
        <f t="shared" si="112"/>
        <v>58.448187166891834</v>
      </c>
      <c r="X434" s="96">
        <f t="shared" si="125"/>
        <v>0.76419751836675753</v>
      </c>
      <c r="Y434" s="96">
        <f t="shared" si="119"/>
        <v>0.71064935021784525</v>
      </c>
      <c r="Z434" s="96">
        <f t="shared" si="123"/>
        <v>466.35817245958833</v>
      </c>
      <c r="AA434" s="97">
        <f t="shared" si="126"/>
        <v>-59.798172459588045</v>
      </c>
      <c r="AB434" s="97">
        <f t="shared" si="127"/>
        <v>240.2018275404121</v>
      </c>
      <c r="AC434" s="97">
        <f t="shared" si="128"/>
        <v>6079.9988653396686</v>
      </c>
      <c r="AD434" s="96"/>
      <c r="AE434" s="105">
        <f t="shared" si="120"/>
        <v>16.358172459588332</v>
      </c>
    </row>
    <row r="435" spans="5:31" x14ac:dyDescent="0.35">
      <c r="E435" s="100">
        <f t="shared" si="111"/>
        <v>1.3006944444444914</v>
      </c>
      <c r="F435" s="5">
        <v>20</v>
      </c>
      <c r="G435" s="5">
        <f t="shared" si="124"/>
        <v>140</v>
      </c>
      <c r="H435" s="106">
        <f t="shared" si="124"/>
        <v>3.8194444444444443E-3</v>
      </c>
      <c r="I435" s="110">
        <f t="shared" si="121"/>
        <v>1.7687499999999998E-2</v>
      </c>
      <c r="J435" s="5">
        <v>1.05</v>
      </c>
      <c r="K435" s="5">
        <v>0</v>
      </c>
      <c r="L435" s="5">
        <v>0</v>
      </c>
      <c r="N435" s="5">
        <f t="shared" si="113"/>
        <v>140</v>
      </c>
      <c r="O435" s="97">
        <f t="shared" si="114"/>
        <v>181.81818181818184</v>
      </c>
      <c r="P435" s="5">
        <f t="shared" si="115"/>
        <v>1.0349999999999999</v>
      </c>
      <c r="R435" s="96">
        <f t="shared" si="116"/>
        <v>4.1940731009518828</v>
      </c>
      <c r="S435" s="95">
        <f t="shared" si="117"/>
        <v>0.97241277021735018</v>
      </c>
      <c r="T435" s="96">
        <f t="shared" si="118"/>
        <v>60.099071555555561</v>
      </c>
      <c r="U435" s="97"/>
      <c r="V435" s="97">
        <f t="shared" si="122"/>
        <v>53.379112193933061</v>
      </c>
      <c r="W435" s="96">
        <f t="shared" si="112"/>
        <v>58.441104658828536</v>
      </c>
      <c r="X435" s="96">
        <f t="shared" si="125"/>
        <v>0.76367313130195691</v>
      </c>
      <c r="Y435" s="96">
        <f t="shared" si="119"/>
        <v>0.70475911560094651</v>
      </c>
      <c r="Z435" s="96">
        <f t="shared" si="123"/>
        <v>467.06293157518928</v>
      </c>
      <c r="AA435" s="97">
        <f t="shared" si="126"/>
        <v>-60.502931575188988</v>
      </c>
      <c r="AB435" s="97">
        <f t="shared" si="127"/>
        <v>239.49706842481115</v>
      </c>
      <c r="AC435" s="97">
        <f t="shared" si="128"/>
        <v>6093.9666245793505</v>
      </c>
      <c r="AD435" s="96"/>
      <c r="AE435" s="105">
        <f t="shared" si="120"/>
        <v>17.062931575189282</v>
      </c>
    </row>
    <row r="436" spans="5:31" x14ac:dyDescent="0.35">
      <c r="E436" s="100">
        <f t="shared" si="111"/>
        <v>1.301388888888936</v>
      </c>
      <c r="F436" s="5">
        <v>20</v>
      </c>
      <c r="G436" s="5">
        <f t="shared" si="124"/>
        <v>140</v>
      </c>
      <c r="H436" s="106">
        <f t="shared" si="124"/>
        <v>3.8194444444444443E-3</v>
      </c>
      <c r="I436" s="110">
        <f t="shared" si="121"/>
        <v>1.7687499999999998E-2</v>
      </c>
      <c r="J436" s="5">
        <v>1.05</v>
      </c>
      <c r="K436" s="5">
        <v>0</v>
      </c>
      <c r="L436" s="5">
        <v>0</v>
      </c>
      <c r="N436" s="5">
        <f t="shared" si="113"/>
        <v>140</v>
      </c>
      <c r="O436" s="97">
        <f t="shared" si="114"/>
        <v>181.81818181818184</v>
      </c>
      <c r="P436" s="5">
        <f t="shared" si="115"/>
        <v>1.0349999999999999</v>
      </c>
      <c r="R436" s="96">
        <f t="shared" si="116"/>
        <v>4.1940731009518828</v>
      </c>
      <c r="S436" s="95">
        <f t="shared" si="117"/>
        <v>0.97229589978425957</v>
      </c>
      <c r="T436" s="96">
        <f t="shared" si="118"/>
        <v>60.099071555555561</v>
      </c>
      <c r="U436" s="97"/>
      <c r="V436" s="97">
        <f t="shared" si="122"/>
        <v>53.379112193933061</v>
      </c>
      <c r="W436" s="96">
        <f t="shared" si="112"/>
        <v>58.434080854307496</v>
      </c>
      <c r="X436" s="96">
        <f t="shared" si="125"/>
        <v>0.76315309063223957</v>
      </c>
      <c r="Y436" s="96">
        <f t="shared" si="119"/>
        <v>0.69891909170524602</v>
      </c>
      <c r="Z436" s="96">
        <f t="shared" si="123"/>
        <v>467.76185066689453</v>
      </c>
      <c r="AA436" s="97">
        <f t="shared" si="126"/>
        <v>-61.201850666894231</v>
      </c>
      <c r="AB436" s="97">
        <f t="shared" si="127"/>
        <v>238.7981493331059</v>
      </c>
      <c r="AC436" s="97">
        <f t="shared" si="128"/>
        <v>6107.9327050894626</v>
      </c>
      <c r="AD436" s="96"/>
      <c r="AE436" s="105">
        <f t="shared" si="120"/>
        <v>17.761850666894532</v>
      </c>
    </row>
    <row r="437" spans="5:31" x14ac:dyDescent="0.35">
      <c r="E437" s="100">
        <f t="shared" si="111"/>
        <v>1.3020833333333806</v>
      </c>
      <c r="F437" s="5">
        <v>20</v>
      </c>
      <c r="G437" s="5">
        <f t="shared" si="124"/>
        <v>140</v>
      </c>
      <c r="H437" s="106">
        <f t="shared" si="124"/>
        <v>3.8194444444444443E-3</v>
      </c>
      <c r="I437" s="110">
        <f t="shared" si="121"/>
        <v>1.7687499999999998E-2</v>
      </c>
      <c r="J437" s="5">
        <v>1.05</v>
      </c>
      <c r="K437" s="5">
        <v>0</v>
      </c>
      <c r="L437" s="5">
        <v>0</v>
      </c>
      <c r="N437" s="5">
        <f t="shared" si="113"/>
        <v>140</v>
      </c>
      <c r="O437" s="97">
        <f t="shared" si="114"/>
        <v>181.81818181818184</v>
      </c>
      <c r="P437" s="5">
        <f t="shared" si="115"/>
        <v>1.0349999999999999</v>
      </c>
      <c r="R437" s="96">
        <f t="shared" si="116"/>
        <v>4.1940731009518828</v>
      </c>
      <c r="S437" s="95">
        <f t="shared" si="117"/>
        <v>0.97217999780422892</v>
      </c>
      <c r="T437" s="96">
        <f t="shared" si="118"/>
        <v>60.099071555555561</v>
      </c>
      <c r="U437" s="97"/>
      <c r="V437" s="97">
        <f t="shared" si="122"/>
        <v>53.379112193933061</v>
      </c>
      <c r="W437" s="96">
        <f t="shared" si="112"/>
        <v>58.427115252916202</v>
      </c>
      <c r="X437" s="96">
        <f t="shared" si="125"/>
        <v>0.76263735930719134</v>
      </c>
      <c r="Y437" s="96">
        <f t="shared" si="119"/>
        <v>0.69312882791280195</v>
      </c>
      <c r="Z437" s="96">
        <f t="shared" si="123"/>
        <v>468.45497949480733</v>
      </c>
      <c r="AA437" s="97">
        <f t="shared" si="126"/>
        <v>-61.894979494807032</v>
      </c>
      <c r="AB437" s="97">
        <f t="shared" si="127"/>
        <v>238.1050205051931</v>
      </c>
      <c r="AC437" s="97">
        <f t="shared" si="128"/>
        <v>6121.8971207808863</v>
      </c>
      <c r="AD437" s="96"/>
      <c r="AE437" s="105">
        <f t="shared" si="120"/>
        <v>18.454979494807333</v>
      </c>
    </row>
    <row r="438" spans="5:31" x14ac:dyDescent="0.35">
      <c r="E438" s="100">
        <f t="shared" si="111"/>
        <v>1.3027777777778251</v>
      </c>
      <c r="F438" s="5">
        <v>20</v>
      </c>
      <c r="G438" s="5">
        <f t="shared" si="124"/>
        <v>140</v>
      </c>
      <c r="H438" s="106">
        <f t="shared" si="124"/>
        <v>3.8194444444444443E-3</v>
      </c>
      <c r="I438" s="110">
        <f t="shared" si="121"/>
        <v>1.7687499999999998E-2</v>
      </c>
      <c r="J438" s="5">
        <v>1.05</v>
      </c>
      <c r="K438" s="5">
        <v>0</v>
      </c>
      <c r="L438" s="5">
        <v>0</v>
      </c>
      <c r="N438" s="5">
        <f t="shared" si="113"/>
        <v>140</v>
      </c>
      <c r="O438" s="97">
        <f t="shared" si="114"/>
        <v>181.81818181818184</v>
      </c>
      <c r="P438" s="5">
        <f t="shared" si="115"/>
        <v>1.0349999999999999</v>
      </c>
      <c r="R438" s="96">
        <f t="shared" si="116"/>
        <v>4.1940731009518828</v>
      </c>
      <c r="S438" s="95">
        <f t="shared" si="117"/>
        <v>0.97206505602552395</v>
      </c>
      <c r="T438" s="96">
        <f t="shared" si="118"/>
        <v>60.099071555555561</v>
      </c>
      <c r="U438" s="97"/>
      <c r="V438" s="97">
        <f t="shared" si="122"/>
        <v>53.379112193933061</v>
      </c>
      <c r="W438" s="96">
        <f t="shared" si="112"/>
        <v>58.420207358733087</v>
      </c>
      <c r="X438" s="96">
        <f t="shared" si="125"/>
        <v>0.76212590060890861</v>
      </c>
      <c r="Y438" s="96">
        <f t="shared" si="119"/>
        <v>0.68738787801524359</v>
      </c>
      <c r="Z438" s="96">
        <f t="shared" si="123"/>
        <v>469.14236737282255</v>
      </c>
      <c r="AA438" s="97">
        <f t="shared" si="126"/>
        <v>-62.582367372822276</v>
      </c>
      <c r="AB438" s="97">
        <f t="shared" si="127"/>
        <v>237.41763262717785</v>
      </c>
      <c r="AC438" s="97">
        <f t="shared" si="128"/>
        <v>6135.8598854459751</v>
      </c>
      <c r="AD438" s="96"/>
      <c r="AE438" s="105">
        <f t="shared" si="120"/>
        <v>19.142367372822548</v>
      </c>
    </row>
    <row r="439" spans="5:31" x14ac:dyDescent="0.35">
      <c r="E439" s="100">
        <f t="shared" ref="E439:E482" si="129">E438+TIME(0,1,0)</f>
        <v>1.3034722222222697</v>
      </c>
      <c r="F439" s="5">
        <v>20</v>
      </c>
      <c r="G439" s="5">
        <f t="shared" si="124"/>
        <v>140</v>
      </c>
      <c r="H439" s="106">
        <f t="shared" si="124"/>
        <v>3.8194444444444443E-3</v>
      </c>
      <c r="I439" s="110">
        <f t="shared" si="121"/>
        <v>1.7687499999999998E-2</v>
      </c>
      <c r="J439" s="5">
        <v>1.05</v>
      </c>
      <c r="K439" s="5">
        <v>0</v>
      </c>
      <c r="L439" s="5">
        <v>0</v>
      </c>
      <c r="N439" s="5">
        <f t="shared" si="113"/>
        <v>140</v>
      </c>
      <c r="O439" s="97">
        <f t="shared" si="114"/>
        <v>181.81818181818184</v>
      </c>
      <c r="P439" s="5">
        <f t="shared" si="115"/>
        <v>1.0349999999999999</v>
      </c>
      <c r="R439" s="96">
        <f t="shared" si="116"/>
        <v>4.1940731009518828</v>
      </c>
      <c r="S439" s="95">
        <f t="shared" si="117"/>
        <v>0.97195106627040551</v>
      </c>
      <c r="T439" s="96">
        <f t="shared" si="118"/>
        <v>60.099071555555561</v>
      </c>
      <c r="U439" s="97"/>
      <c r="V439" s="97">
        <f t="shared" si="122"/>
        <v>53.379112193933061</v>
      </c>
      <c r="W439" s="96">
        <f t="shared" ref="W439:W482" si="130">S439*T439</f>
        <v>58.413356680283627</v>
      </c>
      <c r="X439" s="96">
        <f t="shared" si="125"/>
        <v>0.76161867814874384</v>
      </c>
      <c r="Y439" s="96">
        <f t="shared" si="119"/>
        <v>0.68169580016480591</v>
      </c>
      <c r="Z439" s="96">
        <f t="shared" si="123"/>
        <v>469.82406317298734</v>
      </c>
      <c r="AA439" s="97">
        <f t="shared" si="126"/>
        <v>-63.264063172987079</v>
      </c>
      <c r="AB439" s="97">
        <f t="shared" si="127"/>
        <v>236.73593682701303</v>
      </c>
      <c r="AC439" s="97">
        <f t="shared" si="128"/>
        <v>6149.8210127596185</v>
      </c>
      <c r="AD439" s="96"/>
      <c r="AE439" s="105">
        <f t="shared" si="120"/>
        <v>19.824063172987337</v>
      </c>
    </row>
    <row r="440" spans="5:31" x14ac:dyDescent="0.35">
      <c r="E440" s="100">
        <f t="shared" si="129"/>
        <v>1.3041666666667142</v>
      </c>
      <c r="F440" s="5">
        <v>20</v>
      </c>
      <c r="G440" s="5">
        <f t="shared" si="124"/>
        <v>140</v>
      </c>
      <c r="H440" s="106">
        <f t="shared" si="124"/>
        <v>3.8194444444444443E-3</v>
      </c>
      <c r="I440" s="110">
        <f t="shared" si="121"/>
        <v>1.7687499999999998E-2</v>
      </c>
      <c r="J440" s="5">
        <v>1.05</v>
      </c>
      <c r="K440" s="5">
        <v>0</v>
      </c>
      <c r="L440" s="5">
        <v>0</v>
      </c>
      <c r="N440" s="5">
        <f t="shared" si="113"/>
        <v>140</v>
      </c>
      <c r="O440" s="97">
        <f t="shared" si="114"/>
        <v>181.81818181818184</v>
      </c>
      <c r="P440" s="5">
        <f t="shared" si="115"/>
        <v>1.0349999999999999</v>
      </c>
      <c r="R440" s="96">
        <f t="shared" si="116"/>
        <v>4.1940731009518828</v>
      </c>
      <c r="S440" s="95">
        <f t="shared" si="117"/>
        <v>0.97183802043440615</v>
      </c>
      <c r="T440" s="96">
        <f t="shared" si="118"/>
        <v>60.099071555555561</v>
      </c>
      <c r="U440" s="97"/>
      <c r="V440" s="97">
        <f t="shared" si="122"/>
        <v>53.379112193933061</v>
      </c>
      <c r="W440" s="96">
        <f t="shared" si="130"/>
        <v>58.406562730496844</v>
      </c>
      <c r="X440" s="96">
        <f t="shared" si="125"/>
        <v>0.76111565586408858</v>
      </c>
      <c r="Y440" s="96">
        <f t="shared" si="119"/>
        <v>0.67605215682601316</v>
      </c>
      <c r="Z440" s="96">
        <f t="shared" si="123"/>
        <v>470.50011532981335</v>
      </c>
      <c r="AA440" s="97">
        <f t="shared" si="126"/>
        <v>-63.940115329813089</v>
      </c>
      <c r="AB440" s="97">
        <f t="shared" si="127"/>
        <v>236.05988467018702</v>
      </c>
      <c r="AC440" s="97">
        <f t="shared" si="128"/>
        <v>6163.7805162802915</v>
      </c>
      <c r="AD440" s="96"/>
      <c r="AE440" s="105">
        <f t="shared" si="120"/>
        <v>20.500115329813354</v>
      </c>
    </row>
    <row r="441" spans="5:31" x14ac:dyDescent="0.35">
      <c r="E441" s="100">
        <f t="shared" si="129"/>
        <v>1.3048611111111588</v>
      </c>
      <c r="F441" s="5">
        <v>20</v>
      </c>
      <c r="G441" s="5">
        <f t="shared" si="124"/>
        <v>140</v>
      </c>
      <c r="H441" s="106">
        <f t="shared" si="124"/>
        <v>3.8194444444444443E-3</v>
      </c>
      <c r="I441" s="110">
        <f t="shared" si="121"/>
        <v>1.7687499999999998E-2</v>
      </c>
      <c r="J441" s="5">
        <v>1.05</v>
      </c>
      <c r="K441" s="5">
        <v>0</v>
      </c>
      <c r="L441" s="5">
        <v>0</v>
      </c>
      <c r="N441" s="5">
        <f t="shared" si="113"/>
        <v>140</v>
      </c>
      <c r="O441" s="97">
        <f t="shared" si="114"/>
        <v>181.81818181818184</v>
      </c>
      <c r="P441" s="5">
        <f t="shared" si="115"/>
        <v>1.0349999999999999</v>
      </c>
      <c r="R441" s="96">
        <f t="shared" si="116"/>
        <v>4.1940731009518828</v>
      </c>
      <c r="S441" s="95">
        <f t="shared" si="117"/>
        <v>0.97172591048561519</v>
      </c>
      <c r="T441" s="96">
        <f t="shared" si="118"/>
        <v>60.099071555555561</v>
      </c>
      <c r="U441" s="97"/>
      <c r="V441" s="97">
        <f t="shared" si="122"/>
        <v>53.379112193933061</v>
      </c>
      <c r="W441" s="96">
        <f t="shared" si="130"/>
        <v>58.399825026662363</v>
      </c>
      <c r="X441" s="96">
        <f t="shared" si="125"/>
        <v>0.760616798015191</v>
      </c>
      <c r="Y441" s="96">
        <f t="shared" si="119"/>
        <v>0.67045651472797174</v>
      </c>
      <c r="Z441" s="96">
        <f t="shared" si="123"/>
        <v>471.17057184454131</v>
      </c>
      <c r="AA441" s="97">
        <f t="shared" si="126"/>
        <v>-64.610571844541056</v>
      </c>
      <c r="AB441" s="97">
        <f t="shared" si="127"/>
        <v>235.38942815545906</v>
      </c>
      <c r="AC441" s="97">
        <f t="shared" si="128"/>
        <v>6177.7384094510999</v>
      </c>
      <c r="AD441" s="96"/>
      <c r="AE441" s="105">
        <f t="shared" si="120"/>
        <v>21.170571844541314</v>
      </c>
    </row>
    <row r="442" spans="5:31" x14ac:dyDescent="0.35">
      <c r="E442" s="100">
        <f t="shared" si="129"/>
        <v>1.3055555555556033</v>
      </c>
      <c r="F442" s="5">
        <v>20</v>
      </c>
      <c r="G442" s="5">
        <f t="shared" si="124"/>
        <v>140</v>
      </c>
      <c r="H442" s="106">
        <f t="shared" si="124"/>
        <v>3.8194444444444443E-3</v>
      </c>
      <c r="I442" s="110">
        <f t="shared" si="121"/>
        <v>1.7687499999999998E-2</v>
      </c>
      <c r="J442" s="5">
        <v>1.05</v>
      </c>
      <c r="K442" s="5">
        <v>0</v>
      </c>
      <c r="L442" s="5">
        <v>0</v>
      </c>
      <c r="N442" s="5">
        <f t="shared" si="113"/>
        <v>140</v>
      </c>
      <c r="O442" s="97">
        <f t="shared" si="114"/>
        <v>181.81818181818184</v>
      </c>
      <c r="P442" s="5">
        <f t="shared" si="115"/>
        <v>1.0349999999999999</v>
      </c>
      <c r="R442" s="96">
        <f t="shared" si="116"/>
        <v>4.1940731009518828</v>
      </c>
      <c r="S442" s="95">
        <f t="shared" si="117"/>
        <v>0.97161472846397101</v>
      </c>
      <c r="T442" s="96">
        <f t="shared" si="118"/>
        <v>60.099071555555561</v>
      </c>
      <c r="U442" s="97"/>
      <c r="V442" s="97">
        <f t="shared" si="122"/>
        <v>53.379112193933061</v>
      </c>
      <c r="W442" s="96">
        <f t="shared" si="130"/>
        <v>58.393143090387881</v>
      </c>
      <c r="X442" s="96">
        <f t="shared" si="125"/>
        <v>0.7601220691820092</v>
      </c>
      <c r="Y442" s="96">
        <f t="shared" si="119"/>
        <v>0.66490844481728495</v>
      </c>
      <c r="Z442" s="96">
        <f t="shared" si="123"/>
        <v>471.8354802893586</v>
      </c>
      <c r="AA442" s="97">
        <f t="shared" si="126"/>
        <v>-65.275480289358342</v>
      </c>
      <c r="AB442" s="97">
        <f t="shared" si="127"/>
        <v>264.72451971064174</v>
      </c>
      <c r="AC442" s="97">
        <f t="shared" si="128"/>
        <v>6191.6947056008103</v>
      </c>
      <c r="AD442" s="96"/>
      <c r="AE442" s="105">
        <f t="shared" si="120"/>
        <v>21.8354802893586</v>
      </c>
    </row>
    <row r="443" spans="5:31" x14ac:dyDescent="0.35">
      <c r="E443" s="100">
        <f t="shared" si="129"/>
        <v>1.3062500000000479</v>
      </c>
      <c r="F443" s="5">
        <v>20</v>
      </c>
      <c r="G443" s="5">
        <f t="shared" si="124"/>
        <v>140</v>
      </c>
      <c r="H443" s="106">
        <f t="shared" si="124"/>
        <v>3.8194444444444443E-3</v>
      </c>
      <c r="I443" s="110">
        <f t="shared" si="121"/>
        <v>1.7687499999999998E-2</v>
      </c>
      <c r="J443" s="5">
        <v>1.05</v>
      </c>
      <c r="K443" s="5">
        <v>0</v>
      </c>
      <c r="L443" s="5">
        <v>0</v>
      </c>
      <c r="N443" s="5">
        <f t="shared" si="113"/>
        <v>140</v>
      </c>
      <c r="O443" s="97">
        <f t="shared" si="114"/>
        <v>181.81818181818184</v>
      </c>
      <c r="P443" s="5">
        <f t="shared" si="115"/>
        <v>1.0349999999999999</v>
      </c>
      <c r="R443" s="96">
        <f t="shared" si="116"/>
        <v>4.1940731009518828</v>
      </c>
      <c r="S443" s="95">
        <f t="shared" si="117"/>
        <v>0.97647937622646364</v>
      </c>
      <c r="T443" s="96">
        <f t="shared" si="118"/>
        <v>60.099071555555561</v>
      </c>
      <c r="U443" s="97"/>
      <c r="V443" s="97">
        <f t="shared" si="122"/>
        <v>53.379112193933061</v>
      </c>
      <c r="W443" s="96">
        <f t="shared" si="130"/>
        <v>58.685503904358498</v>
      </c>
      <c r="X443" s="96">
        <f t="shared" si="125"/>
        <v>0.78176838821623496</v>
      </c>
      <c r="Y443" s="96">
        <f t="shared" si="119"/>
        <v>0.90882936854487872</v>
      </c>
      <c r="Z443" s="96">
        <f t="shared" si="123"/>
        <v>472.7443096579035</v>
      </c>
      <c r="AA443" s="97">
        <f t="shared" si="126"/>
        <v>-66.184309657903214</v>
      </c>
      <c r="AB443" s="97">
        <f t="shared" si="127"/>
        <v>263.81569034209684</v>
      </c>
      <c r="AC443" s="97">
        <f t="shared" si="128"/>
        <v>6205.720877662081</v>
      </c>
      <c r="AD443" s="96"/>
      <c r="AE443" s="105">
        <f t="shared" si="120"/>
        <v>22.7443096579035</v>
      </c>
    </row>
    <row r="444" spans="5:31" x14ac:dyDescent="0.35">
      <c r="E444" s="100">
        <f t="shared" si="129"/>
        <v>1.3069444444444924</v>
      </c>
      <c r="F444" s="5">
        <v>20</v>
      </c>
      <c r="G444" s="5">
        <f t="shared" si="124"/>
        <v>140</v>
      </c>
      <c r="H444" s="106">
        <f t="shared" si="124"/>
        <v>3.8194444444444443E-3</v>
      </c>
      <c r="I444" s="110">
        <f t="shared" si="121"/>
        <v>1.7687499999999998E-2</v>
      </c>
      <c r="J444" s="5">
        <v>1.05</v>
      </c>
      <c r="K444" s="5">
        <v>0</v>
      </c>
      <c r="L444" s="5">
        <v>0</v>
      </c>
      <c r="N444" s="5">
        <f t="shared" si="113"/>
        <v>140</v>
      </c>
      <c r="O444" s="97">
        <f t="shared" si="114"/>
        <v>181.81818181818184</v>
      </c>
      <c r="P444" s="5">
        <f t="shared" si="115"/>
        <v>1.0349999999999999</v>
      </c>
      <c r="R444" s="96">
        <f t="shared" si="116"/>
        <v>4.1940731009518828</v>
      </c>
      <c r="S444" s="95">
        <f t="shared" si="117"/>
        <v>0.9763286647570325</v>
      </c>
      <c r="T444" s="96">
        <f t="shared" si="118"/>
        <v>60.099071555555561</v>
      </c>
      <c r="U444" s="97"/>
      <c r="V444" s="97">
        <f t="shared" si="122"/>
        <v>53.379112193933061</v>
      </c>
      <c r="W444" s="96">
        <f t="shared" si="130"/>
        <v>58.676446284972911</v>
      </c>
      <c r="X444" s="96">
        <f t="shared" si="125"/>
        <v>0.78109776442008316</v>
      </c>
      <c r="Y444" s="96">
        <f t="shared" si="119"/>
        <v>0.90123648064893935</v>
      </c>
      <c r="Z444" s="96">
        <f t="shared" si="123"/>
        <v>473.64554613855245</v>
      </c>
      <c r="AA444" s="97">
        <f t="shared" si="126"/>
        <v>-67.085546138552147</v>
      </c>
      <c r="AB444" s="97">
        <f t="shared" si="127"/>
        <v>262.9144538614479</v>
      </c>
      <c r="AC444" s="97">
        <f t="shared" si="128"/>
        <v>6219.7448849003631</v>
      </c>
      <c r="AD444" s="96"/>
      <c r="AE444" s="105">
        <f t="shared" si="120"/>
        <v>23.645546138552447</v>
      </c>
    </row>
    <row r="445" spans="5:31" x14ac:dyDescent="0.35">
      <c r="E445" s="100">
        <f t="shared" si="129"/>
        <v>1.307638888888937</v>
      </c>
      <c r="F445" s="5">
        <v>20</v>
      </c>
      <c r="G445" s="5">
        <f t="shared" si="124"/>
        <v>140</v>
      </c>
      <c r="H445" s="106">
        <f t="shared" si="124"/>
        <v>3.8194444444444443E-3</v>
      </c>
      <c r="I445" s="110">
        <f t="shared" si="121"/>
        <v>1.7687499999999998E-2</v>
      </c>
      <c r="J445" s="5">
        <v>1.05</v>
      </c>
      <c r="K445" s="5">
        <v>0</v>
      </c>
      <c r="L445" s="5">
        <v>0</v>
      </c>
      <c r="N445" s="5">
        <f t="shared" si="113"/>
        <v>140</v>
      </c>
      <c r="O445" s="97">
        <f t="shared" si="114"/>
        <v>181.81818181818184</v>
      </c>
      <c r="P445" s="5">
        <f t="shared" si="115"/>
        <v>1.0349999999999999</v>
      </c>
      <c r="R445" s="96">
        <f t="shared" si="116"/>
        <v>4.1940731009518828</v>
      </c>
      <c r="S445" s="95">
        <f t="shared" si="117"/>
        <v>0.97617921241866779</v>
      </c>
      <c r="T445" s="96">
        <f t="shared" si="118"/>
        <v>60.099071555555561</v>
      </c>
      <c r="U445" s="97"/>
      <c r="V445" s="97">
        <f t="shared" si="122"/>
        <v>53.379112193933061</v>
      </c>
      <c r="W445" s="96">
        <f t="shared" si="130"/>
        <v>58.667464338195387</v>
      </c>
      <c r="X445" s="96">
        <f t="shared" si="125"/>
        <v>0.78043274340425595</v>
      </c>
      <c r="Y445" s="96">
        <f t="shared" si="119"/>
        <v>0.89370930024477424</v>
      </c>
      <c r="Z445" s="96">
        <f t="shared" si="123"/>
        <v>474.53925543879723</v>
      </c>
      <c r="AA445" s="97">
        <f t="shared" si="126"/>
        <v>-67.979255438796926</v>
      </c>
      <c r="AB445" s="97">
        <f t="shared" si="127"/>
        <v>262.02074456120312</v>
      </c>
      <c r="AC445" s="97">
        <f t="shared" si="128"/>
        <v>6233.7667454018438</v>
      </c>
      <c r="AD445" s="96"/>
      <c r="AE445" s="105">
        <f t="shared" si="120"/>
        <v>24.539255438797227</v>
      </c>
    </row>
    <row r="446" spans="5:31" x14ac:dyDescent="0.35">
      <c r="E446" s="100">
        <f t="shared" si="129"/>
        <v>1.3083333333333815</v>
      </c>
      <c r="F446" s="5">
        <v>20</v>
      </c>
      <c r="G446" s="5">
        <f t="shared" si="124"/>
        <v>140</v>
      </c>
      <c r="H446" s="106">
        <f t="shared" si="124"/>
        <v>3.8194444444444443E-3</v>
      </c>
      <c r="I446" s="110">
        <f t="shared" si="121"/>
        <v>1.7687499999999998E-2</v>
      </c>
      <c r="J446" s="5">
        <v>1.05</v>
      </c>
      <c r="K446" s="5">
        <v>0</v>
      </c>
      <c r="L446" s="5">
        <v>0</v>
      </c>
      <c r="N446" s="5">
        <f t="shared" si="113"/>
        <v>140</v>
      </c>
      <c r="O446" s="97">
        <f t="shared" si="114"/>
        <v>181.81818181818184</v>
      </c>
      <c r="P446" s="5">
        <f t="shared" si="115"/>
        <v>1.0349999999999999</v>
      </c>
      <c r="R446" s="96">
        <f t="shared" si="116"/>
        <v>4.1940731009518828</v>
      </c>
      <c r="S446" s="95">
        <f t="shared" si="117"/>
        <v>0.97603100831507483</v>
      </c>
      <c r="T446" s="96">
        <f t="shared" si="118"/>
        <v>60.099071555555561</v>
      </c>
      <c r="U446" s="97"/>
      <c r="V446" s="97">
        <f t="shared" si="122"/>
        <v>53.379112193933061</v>
      </c>
      <c r="W446" s="96">
        <f t="shared" si="130"/>
        <v>58.658557409168729</v>
      </c>
      <c r="X446" s="96">
        <f t="shared" si="125"/>
        <v>0.77977327668329621</v>
      </c>
      <c r="Y446" s="96">
        <f t="shared" si="119"/>
        <v>0.88624722159936264</v>
      </c>
      <c r="Z446" s="96">
        <f t="shared" si="123"/>
        <v>475.4255026603966</v>
      </c>
      <c r="AA446" s="97">
        <f t="shared" si="126"/>
        <v>-68.865502660396288</v>
      </c>
      <c r="AB446" s="97">
        <f t="shared" si="127"/>
        <v>261.13449733960374</v>
      </c>
      <c r="AC446" s="97">
        <f t="shared" si="128"/>
        <v>6247.786477096196</v>
      </c>
      <c r="AD446" s="96"/>
      <c r="AE446" s="105">
        <f t="shared" si="120"/>
        <v>25.425502660396603</v>
      </c>
    </row>
    <row r="447" spans="5:31" x14ac:dyDescent="0.35">
      <c r="E447" s="100">
        <f t="shared" si="129"/>
        <v>1.3090277777778261</v>
      </c>
      <c r="F447" s="5">
        <v>20</v>
      </c>
      <c r="G447" s="5">
        <f t="shared" si="124"/>
        <v>140</v>
      </c>
      <c r="H447" s="106">
        <f t="shared" si="124"/>
        <v>3.8194444444444443E-3</v>
      </c>
      <c r="I447" s="110">
        <f t="shared" si="121"/>
        <v>1.7687499999999998E-2</v>
      </c>
      <c r="J447" s="5">
        <v>1.05</v>
      </c>
      <c r="K447" s="5">
        <v>0</v>
      </c>
      <c r="L447" s="5">
        <v>0</v>
      </c>
      <c r="N447" s="5">
        <f t="shared" si="113"/>
        <v>140</v>
      </c>
      <c r="O447" s="97">
        <f t="shared" si="114"/>
        <v>181.81818181818184</v>
      </c>
      <c r="P447" s="5">
        <f t="shared" si="115"/>
        <v>1.0349999999999999</v>
      </c>
      <c r="R447" s="96">
        <f t="shared" si="116"/>
        <v>4.1940731009518828</v>
      </c>
      <c r="S447" s="95">
        <f t="shared" si="117"/>
        <v>0.97588404165040776</v>
      </c>
      <c r="T447" s="96">
        <f t="shared" si="118"/>
        <v>60.099071555555561</v>
      </c>
      <c r="U447" s="97"/>
      <c r="V447" s="97">
        <f t="shared" si="122"/>
        <v>53.379112193933061</v>
      </c>
      <c r="W447" s="96">
        <f t="shared" si="130"/>
        <v>58.649724849072619</v>
      </c>
      <c r="X447" s="96">
        <f t="shared" si="125"/>
        <v>0.77911931621871577</v>
      </c>
      <c r="Y447" s="96">
        <f t="shared" si="119"/>
        <v>0.8788496451656157</v>
      </c>
      <c r="Z447" s="96">
        <f t="shared" si="123"/>
        <v>476.30435230556219</v>
      </c>
      <c r="AA447" s="97">
        <f t="shared" si="126"/>
        <v>-69.744352305561904</v>
      </c>
      <c r="AB447" s="97">
        <f t="shared" si="127"/>
        <v>260.25564769443815</v>
      </c>
      <c r="AC447" s="97">
        <f t="shared" si="128"/>
        <v>6261.8040977580204</v>
      </c>
      <c r="AD447" s="96"/>
      <c r="AE447" s="105">
        <f t="shared" si="120"/>
        <v>26.30435230556219</v>
      </c>
    </row>
    <row r="448" spans="5:31" x14ac:dyDescent="0.35">
      <c r="E448" s="100">
        <f t="shared" si="129"/>
        <v>1.3097222222222706</v>
      </c>
      <c r="F448" s="5">
        <v>20</v>
      </c>
      <c r="G448" s="5">
        <f t="shared" si="124"/>
        <v>140</v>
      </c>
      <c r="H448" s="106">
        <f t="shared" si="124"/>
        <v>3.8194444444444443E-3</v>
      </c>
      <c r="I448" s="110">
        <f t="shared" si="121"/>
        <v>1.7687499999999998E-2</v>
      </c>
      <c r="J448" s="5">
        <v>1.05</v>
      </c>
      <c r="K448" s="5">
        <v>0</v>
      </c>
      <c r="L448" s="5">
        <v>0</v>
      </c>
      <c r="N448" s="5">
        <f t="shared" si="113"/>
        <v>140</v>
      </c>
      <c r="O448" s="97">
        <f t="shared" si="114"/>
        <v>181.81818181818184</v>
      </c>
      <c r="P448" s="5">
        <f t="shared" si="115"/>
        <v>1.0349999999999999</v>
      </c>
      <c r="R448" s="96">
        <f t="shared" si="116"/>
        <v>4.1940731009518828</v>
      </c>
      <c r="S448" s="95">
        <f t="shared" si="117"/>
        <v>0.97573830172824383</v>
      </c>
      <c r="T448" s="96">
        <f t="shared" si="118"/>
        <v>60.099071555555561</v>
      </c>
      <c r="U448" s="97"/>
      <c r="V448" s="97">
        <f t="shared" si="122"/>
        <v>53.379112193933061</v>
      </c>
      <c r="W448" s="96">
        <f t="shared" si="130"/>
        <v>58.640966015061991</v>
      </c>
      <c r="X448" s="96">
        <f t="shared" si="125"/>
        <v>0.77847081441443178</v>
      </c>
      <c r="Y448" s="96">
        <f t="shared" si="119"/>
        <v>0.87151597750964638</v>
      </c>
      <c r="Z448" s="96">
        <f t="shared" si="123"/>
        <v>477.17586828307185</v>
      </c>
      <c r="AA448" s="97">
        <f t="shared" si="126"/>
        <v>-70.615868283071549</v>
      </c>
      <c r="AB448" s="97">
        <f t="shared" si="127"/>
        <v>259.38413171692849</v>
      </c>
      <c r="AC448" s="97">
        <f t="shared" si="128"/>
        <v>6275.8196250082738</v>
      </c>
      <c r="AD448" s="96"/>
      <c r="AE448" s="105">
        <f t="shared" si="120"/>
        <v>27.17586828307185</v>
      </c>
    </row>
    <row r="449" spans="5:31" x14ac:dyDescent="0.35">
      <c r="E449" s="100">
        <f t="shared" si="129"/>
        <v>1.3104166666667152</v>
      </c>
      <c r="F449" s="5">
        <v>20</v>
      </c>
      <c r="G449" s="5">
        <f t="shared" si="124"/>
        <v>140</v>
      </c>
      <c r="H449" s="106">
        <f t="shared" si="124"/>
        <v>3.8194444444444443E-3</v>
      </c>
      <c r="I449" s="110">
        <f t="shared" si="121"/>
        <v>1.7687499999999998E-2</v>
      </c>
      <c r="J449" s="5">
        <v>1.05</v>
      </c>
      <c r="K449" s="5">
        <v>0</v>
      </c>
      <c r="L449" s="5">
        <v>0</v>
      </c>
      <c r="N449" s="5">
        <f t="shared" si="113"/>
        <v>140</v>
      </c>
      <c r="O449" s="97">
        <f t="shared" si="114"/>
        <v>181.81818181818184</v>
      </c>
      <c r="P449" s="5">
        <f t="shared" si="115"/>
        <v>1.0349999999999999</v>
      </c>
      <c r="R449" s="96">
        <f t="shared" si="116"/>
        <v>4.1940731009518828</v>
      </c>
      <c r="S449" s="95">
        <f t="shared" si="117"/>
        <v>0.97559377795056978</v>
      </c>
      <c r="T449" s="96">
        <f t="shared" si="118"/>
        <v>60.099071555555561</v>
      </c>
      <c r="U449" s="97"/>
      <c r="V449" s="97">
        <f t="shared" si="122"/>
        <v>53.379112193933061</v>
      </c>
      <c r="W449" s="96">
        <f t="shared" si="130"/>
        <v>58.632280270206074</v>
      </c>
      <c r="X449" s="96">
        <f t="shared" si="125"/>
        <v>0.77782772411225531</v>
      </c>
      <c r="Y449" s="96">
        <f t="shared" si="119"/>
        <v>0.86424563123902109</v>
      </c>
      <c r="Z449" s="96">
        <f t="shared" si="123"/>
        <v>478.04011391431089</v>
      </c>
      <c r="AA449" s="97">
        <f t="shared" si="126"/>
        <v>-71.480113914310564</v>
      </c>
      <c r="AB449" s="97">
        <f t="shared" si="127"/>
        <v>258.51988608568945</v>
      </c>
      <c r="AC449" s="97">
        <f t="shared" si="128"/>
        <v>6289.8330763156846</v>
      </c>
      <c r="AD449" s="96"/>
      <c r="AE449" s="105">
        <f t="shared" si="120"/>
        <v>28.040113914310894</v>
      </c>
    </row>
    <row r="450" spans="5:31" x14ac:dyDescent="0.35">
      <c r="E450" s="100">
        <f t="shared" si="129"/>
        <v>1.3111111111111597</v>
      </c>
      <c r="F450" s="5">
        <v>20</v>
      </c>
      <c r="G450" s="5">
        <f t="shared" si="124"/>
        <v>140</v>
      </c>
      <c r="H450" s="106">
        <f t="shared" si="124"/>
        <v>3.8194444444444443E-3</v>
      </c>
      <c r="I450" s="110">
        <f t="shared" si="121"/>
        <v>1.7687499999999998E-2</v>
      </c>
      <c r="J450" s="5">
        <v>1.05</v>
      </c>
      <c r="K450" s="5">
        <v>0</v>
      </c>
      <c r="L450" s="5">
        <v>0</v>
      </c>
      <c r="N450" s="5">
        <f t="shared" si="113"/>
        <v>140</v>
      </c>
      <c r="O450" s="97">
        <f t="shared" si="114"/>
        <v>181.81818181818184</v>
      </c>
      <c r="P450" s="5">
        <f t="shared" si="115"/>
        <v>1.0349999999999999</v>
      </c>
      <c r="R450" s="96">
        <f t="shared" si="116"/>
        <v>4.1940731009518828</v>
      </c>
      <c r="S450" s="95">
        <f t="shared" si="117"/>
        <v>0.97545045981677969</v>
      </c>
      <c r="T450" s="96">
        <f t="shared" si="118"/>
        <v>60.099071555555561</v>
      </c>
      <c r="U450" s="97"/>
      <c r="V450" s="97">
        <f t="shared" si="122"/>
        <v>53.379112193933061</v>
      </c>
      <c r="W450" s="96">
        <f t="shared" si="130"/>
        <v>58.623666983428215</v>
      </c>
      <c r="X450" s="96">
        <f t="shared" si="125"/>
        <v>0.7771899985874331</v>
      </c>
      <c r="Y450" s="96">
        <f t="shared" si="119"/>
        <v>0.85703802493200276</v>
      </c>
      <c r="Z450" s="96">
        <f t="shared" si="123"/>
        <v>478.89715193924292</v>
      </c>
      <c r="AA450" s="97">
        <f t="shared" si="126"/>
        <v>-72.337151939242574</v>
      </c>
      <c r="AB450" s="97">
        <f t="shared" si="127"/>
        <v>257.66284806075743</v>
      </c>
      <c r="AC450" s="97">
        <f t="shared" si="128"/>
        <v>6303.8444689981479</v>
      </c>
      <c r="AD450" s="96"/>
      <c r="AE450" s="105">
        <f t="shared" si="120"/>
        <v>28.897151939242917</v>
      </c>
    </row>
    <row r="451" spans="5:31" x14ac:dyDescent="0.35">
      <c r="E451" s="100">
        <f t="shared" si="129"/>
        <v>1.3118055555556043</v>
      </c>
      <c r="F451" s="5">
        <v>20</v>
      </c>
      <c r="G451" s="5">
        <f t="shared" si="124"/>
        <v>140</v>
      </c>
      <c r="H451" s="106">
        <f t="shared" si="124"/>
        <v>3.8194444444444443E-3</v>
      </c>
      <c r="I451" s="110">
        <f t="shared" si="121"/>
        <v>1.7687499999999998E-2</v>
      </c>
      <c r="J451" s="5">
        <v>1.05</v>
      </c>
      <c r="K451" s="5">
        <v>0</v>
      </c>
      <c r="L451" s="5">
        <v>0</v>
      </c>
      <c r="N451" s="5">
        <f t="shared" ref="N451:N482" si="131">G451*(1-0.0015*MAX(0,F451-24))*1</f>
        <v>140</v>
      </c>
      <c r="O451" s="97">
        <f t="shared" ref="O451:O482" si="132">1/((MINUTE(H451)*60+SECOND(H451))/60/1000)</f>
        <v>181.81818181818184</v>
      </c>
      <c r="P451" s="5">
        <f t="shared" ref="P451:P482" si="133">1+MIN(0.25, IF(HOUR(E451)&lt;12,0.005*HOUR(E451), IF(HOUR(E451)&lt;24,MIN(0.1,0.005*HOUR(E451)+0.0025*HOUR(E451)),0.1))  +  (K451/300)*0.01  +  (L451/300)*0.02)</f>
        <v>1.0349999999999999</v>
      </c>
      <c r="R451" s="96">
        <f t="shared" ref="R451:R482" si="134">(155.4*POWER(I451,5) - 30.4*POWER(I451,4) - 43.3*POWER(I451,3) + 46.3*POWER(I451,2) + 19.5*I451 + $C$31)*J451*P451</f>
        <v>4.1940731009518828</v>
      </c>
      <c r="S451" s="95">
        <f t="shared" ref="S451:S482" si="135">(1.106*X451+3.941)/(1.106*MAX(0.7,(0.7+0.3*(G451-$C$16)/($C$17-$C$16)))+3.941)</f>
        <v>0.97530833692268493</v>
      </c>
      <c r="T451" s="96">
        <f t="shared" ref="T451:T482" si="136">IF($C$12=1, -95.7735+(0.634*N451)+(0.404*$C$19)+(0.394*$C$14)+(0.271*$C$13), -59.3954+(0.45*N451)+(0.38*$C$19)+(0.103*$C$14)+(0.274*$C$13))+$C$30</f>
        <v>60.099071555555561</v>
      </c>
      <c r="U451" s="97"/>
      <c r="V451" s="97">
        <f t="shared" si="122"/>
        <v>53.379112193933061</v>
      </c>
      <c r="W451" s="96">
        <f t="shared" si="130"/>
        <v>58.615125529446331</v>
      </c>
      <c r="X451" s="96">
        <f t="shared" si="125"/>
        <v>0.77655759154424242</v>
      </c>
      <c r="Y451" s="96">
        <f t="shared" ref="Y451:Y482" si="137">(MAX(V451,W451) * (X451-0.7)/0.3)/17.6</f>
        <v>0.84989258306777482</v>
      </c>
      <c r="Z451" s="96">
        <f t="shared" si="123"/>
        <v>479.74704452231072</v>
      </c>
      <c r="AA451" s="97">
        <f t="shared" si="126"/>
        <v>-73.187044522310345</v>
      </c>
      <c r="AB451" s="97">
        <f t="shared" si="127"/>
        <v>256.81295547768963</v>
      </c>
      <c r="AC451" s="97">
        <f t="shared" si="128"/>
        <v>6317.8538202241152</v>
      </c>
      <c r="AD451" s="96"/>
      <c r="AE451" s="105">
        <f t="shared" ref="AE451:AE482" si="138">MOD(Z451,30)</f>
        <v>29.747044522310716</v>
      </c>
    </row>
    <row r="452" spans="5:31" x14ac:dyDescent="0.35">
      <c r="E452" s="100">
        <f t="shared" si="129"/>
        <v>1.3125000000000488</v>
      </c>
      <c r="F452" s="5">
        <v>20</v>
      </c>
      <c r="G452" s="5">
        <f t="shared" si="124"/>
        <v>140</v>
      </c>
      <c r="H452" s="106">
        <f t="shared" si="124"/>
        <v>3.8194444444444443E-3</v>
      </c>
      <c r="I452" s="110">
        <f t="shared" ref="I452:I482" si="139">(140+143)/16000</f>
        <v>1.7687499999999998E-2</v>
      </c>
      <c r="J452" s="5">
        <v>1.05</v>
      </c>
      <c r="K452" s="5">
        <v>0</v>
      </c>
      <c r="L452" s="5">
        <v>0</v>
      </c>
      <c r="N452" s="5">
        <f t="shared" si="131"/>
        <v>140</v>
      </c>
      <c r="O452" s="97">
        <f t="shared" si="132"/>
        <v>181.81818181818184</v>
      </c>
      <c r="P452" s="5">
        <f t="shared" si="133"/>
        <v>1.0349999999999999</v>
      </c>
      <c r="R452" s="96">
        <f t="shared" si="134"/>
        <v>4.1940731009518828</v>
      </c>
      <c r="S452" s="95">
        <f t="shared" si="135"/>
        <v>0.97516739895953586</v>
      </c>
      <c r="T452" s="96">
        <f t="shared" si="136"/>
        <v>60.099071555555561</v>
      </c>
      <c r="U452" s="97"/>
      <c r="V452" s="97">
        <f t="shared" ref="V452:V482" si="140">O452*R452*$C$14/1000</f>
        <v>53.379112193933061</v>
      </c>
      <c r="W452" s="96">
        <f t="shared" si="130"/>
        <v>58.606655288714144</v>
      </c>
      <c r="X452" s="96">
        <f t="shared" si="125"/>
        <v>0.77593045711163633</v>
      </c>
      <c r="Y452" s="96">
        <f t="shared" si="137"/>
        <v>0.8428087359576073</v>
      </c>
      <c r="Z452" s="96">
        <f t="shared" ref="Z452:Z482" si="141">Z451+Y452</f>
        <v>480.58985325826831</v>
      </c>
      <c r="AA452" s="97">
        <f t="shared" si="126"/>
        <v>-74.029853258267948</v>
      </c>
      <c r="AB452" s="97">
        <f t="shared" si="127"/>
        <v>255.97014674173201</v>
      </c>
      <c r="AC452" s="97">
        <f t="shared" si="128"/>
        <v>6331.8611470139613</v>
      </c>
      <c r="AD452" s="96"/>
      <c r="AE452" s="105">
        <f t="shared" si="138"/>
        <v>0.58985325826830604</v>
      </c>
    </row>
    <row r="453" spans="5:31" x14ac:dyDescent="0.35">
      <c r="E453" s="100">
        <f t="shared" si="129"/>
        <v>1.3131944444444934</v>
      </c>
      <c r="F453" s="5">
        <v>20</v>
      </c>
      <c r="G453" s="5">
        <f t="shared" ref="G453:H482" si="142">G452</f>
        <v>140</v>
      </c>
      <c r="H453" s="106">
        <f t="shared" si="142"/>
        <v>3.8194444444444443E-3</v>
      </c>
      <c r="I453" s="110">
        <f t="shared" si="139"/>
        <v>1.7687499999999998E-2</v>
      </c>
      <c r="J453" s="5">
        <v>1.05</v>
      </c>
      <c r="K453" s="5">
        <v>0</v>
      </c>
      <c r="L453" s="5">
        <v>0</v>
      </c>
      <c r="N453" s="5">
        <f t="shared" si="131"/>
        <v>140</v>
      </c>
      <c r="O453" s="97">
        <f t="shared" si="132"/>
        <v>181.81818181818184</v>
      </c>
      <c r="P453" s="5">
        <f t="shared" si="133"/>
        <v>1.0349999999999999</v>
      </c>
      <c r="R453" s="96">
        <f t="shared" si="134"/>
        <v>4.1940731009518828</v>
      </c>
      <c r="S453" s="95">
        <f t="shared" si="135"/>
        <v>0.97502763571305429</v>
      </c>
      <c r="T453" s="96">
        <f t="shared" si="136"/>
        <v>60.099071555555561</v>
      </c>
      <c r="U453" s="97"/>
      <c r="V453" s="97">
        <f t="shared" si="140"/>
        <v>53.379112193933061</v>
      </c>
      <c r="W453" s="96">
        <f t="shared" si="130"/>
        <v>58.598255647363011</v>
      </c>
      <c r="X453" s="96">
        <f t="shared" ref="X453:X482" si="143">MAX(0.7, (0.7+0.3*(G453-$C$16)/($C$17-$C$16)) - 0.3*($C$29-AB452)/$C$29)</f>
        <v>0.77530854983894026</v>
      </c>
      <c r="Y453" s="96">
        <f t="shared" si="137"/>
        <v>0.83578591967697025</v>
      </c>
      <c r="Z453" s="96">
        <f t="shared" si="141"/>
        <v>481.4256391779453</v>
      </c>
      <c r="AA453" s="97">
        <f t="shared" ref="AA453:AA482" si="144">AA452-Y453</f>
        <v>-74.865639177944914</v>
      </c>
      <c r="AB453" s="97">
        <f t="shared" ref="AB453:AB482" si="145">AB452-Y453+IF(MOD(60*HOUR(E453)+MINUTE(E453),MINUTE($C$35))=0,$C$34,0)</f>
        <v>255.13436082205504</v>
      </c>
      <c r="AC453" s="97">
        <f t="shared" ref="AC453:AC482" si="146">MAX(V453,W453)/4.184+AC452</f>
        <v>6345.8664662413421</v>
      </c>
      <c r="AD453" s="96"/>
      <c r="AE453" s="105">
        <f t="shared" si="138"/>
        <v>1.4256391779452997</v>
      </c>
    </row>
    <row r="454" spans="5:31" x14ac:dyDescent="0.35">
      <c r="E454" s="100">
        <f t="shared" si="129"/>
        <v>1.313888888888938</v>
      </c>
      <c r="F454" s="5">
        <v>20</v>
      </c>
      <c r="G454" s="5">
        <f t="shared" si="142"/>
        <v>140</v>
      </c>
      <c r="H454" s="106">
        <f t="shared" si="142"/>
        <v>3.8194444444444443E-3</v>
      </c>
      <c r="I454" s="110">
        <f t="shared" si="139"/>
        <v>1.7687499999999998E-2</v>
      </c>
      <c r="J454" s="5">
        <v>1.05</v>
      </c>
      <c r="K454" s="5">
        <v>0</v>
      </c>
      <c r="L454" s="5">
        <v>0</v>
      </c>
      <c r="N454" s="5">
        <f t="shared" si="131"/>
        <v>140</v>
      </c>
      <c r="O454" s="97">
        <f t="shared" si="132"/>
        <v>181.81818181818184</v>
      </c>
      <c r="P454" s="5">
        <f t="shared" si="133"/>
        <v>1.0349999999999999</v>
      </c>
      <c r="R454" s="96">
        <f t="shared" si="134"/>
        <v>4.1940731009518828</v>
      </c>
      <c r="S454" s="95">
        <f t="shared" si="135"/>
        <v>0.97488903706247798</v>
      </c>
      <c r="T454" s="96">
        <f t="shared" si="136"/>
        <v>60.099071555555561</v>
      </c>
      <c r="U454" s="97"/>
      <c r="V454" s="97">
        <f t="shared" si="140"/>
        <v>53.379112193933061</v>
      </c>
      <c r="W454" s="96">
        <f t="shared" si="130"/>
        <v>58.589925997144519</v>
      </c>
      <c r="X454" s="96">
        <f t="shared" si="143"/>
        <v>0.77469182469159892</v>
      </c>
      <c r="Y454" s="96">
        <f t="shared" si="137"/>
        <v>0.82882357599857481</v>
      </c>
      <c r="Z454" s="96">
        <f t="shared" si="141"/>
        <v>482.25446275394387</v>
      </c>
      <c r="AA454" s="97">
        <f t="shared" si="144"/>
        <v>-75.694462753943483</v>
      </c>
      <c r="AB454" s="97">
        <f t="shared" si="145"/>
        <v>254.30553724605647</v>
      </c>
      <c r="AC454" s="97">
        <f t="shared" si="146"/>
        <v>6359.869794634541</v>
      </c>
      <c r="AD454" s="96"/>
      <c r="AE454" s="105">
        <f t="shared" si="138"/>
        <v>2.2544627539438693</v>
      </c>
    </row>
    <row r="455" spans="5:31" x14ac:dyDescent="0.35">
      <c r="E455" s="100">
        <f t="shared" si="129"/>
        <v>1.3145833333333825</v>
      </c>
      <c r="F455" s="5">
        <v>20</v>
      </c>
      <c r="G455" s="5">
        <f t="shared" si="142"/>
        <v>140</v>
      </c>
      <c r="H455" s="106">
        <f t="shared" si="142"/>
        <v>3.8194444444444443E-3</v>
      </c>
      <c r="I455" s="110">
        <f t="shared" si="139"/>
        <v>1.7687499999999998E-2</v>
      </c>
      <c r="J455" s="5">
        <v>1.05</v>
      </c>
      <c r="K455" s="5">
        <v>0</v>
      </c>
      <c r="L455" s="5">
        <v>0</v>
      </c>
      <c r="N455" s="5">
        <f t="shared" si="131"/>
        <v>140</v>
      </c>
      <c r="O455" s="97">
        <f t="shared" si="132"/>
        <v>181.81818181818184</v>
      </c>
      <c r="P455" s="5">
        <f t="shared" si="133"/>
        <v>1.0349999999999999</v>
      </c>
      <c r="R455" s="96">
        <f t="shared" si="134"/>
        <v>4.1940731009518828</v>
      </c>
      <c r="S455" s="95">
        <f t="shared" si="135"/>
        <v>0.97475159297961578</v>
      </c>
      <c r="T455" s="96">
        <f t="shared" si="136"/>
        <v>60.099071555555561</v>
      </c>
      <c r="U455" s="97"/>
      <c r="V455" s="97">
        <f t="shared" si="140"/>
        <v>53.379112193933061</v>
      </c>
      <c r="W455" s="96">
        <f t="shared" si="130"/>
        <v>58.581665735373697</v>
      </c>
      <c r="X455" s="96">
        <f t="shared" si="143"/>
        <v>0.77408023704697193</v>
      </c>
      <c r="Y455" s="96">
        <f t="shared" si="137"/>
        <v>0.82192115232631802</v>
      </c>
      <c r="Z455" s="96">
        <f t="shared" si="141"/>
        <v>483.07638390627017</v>
      </c>
      <c r="AA455" s="97">
        <f t="shared" si="144"/>
        <v>-76.516383906269795</v>
      </c>
      <c r="AB455" s="97">
        <f t="shared" si="145"/>
        <v>253.48361609373015</v>
      </c>
      <c r="AC455" s="97">
        <f t="shared" si="146"/>
        <v>6373.8711487777946</v>
      </c>
      <c r="AD455" s="96"/>
      <c r="AE455" s="105">
        <f t="shared" si="138"/>
        <v>3.0763839062701663</v>
      </c>
    </row>
    <row r="456" spans="5:31" x14ac:dyDescent="0.35">
      <c r="E456" s="100">
        <f t="shared" si="129"/>
        <v>1.3152777777778271</v>
      </c>
      <c r="F456" s="5">
        <v>20</v>
      </c>
      <c r="G456" s="5">
        <f t="shared" si="142"/>
        <v>140</v>
      </c>
      <c r="H456" s="106">
        <f t="shared" si="142"/>
        <v>3.8194444444444443E-3</v>
      </c>
      <c r="I456" s="110">
        <f t="shared" si="139"/>
        <v>1.7687499999999998E-2</v>
      </c>
      <c r="J456" s="5">
        <v>1.05</v>
      </c>
      <c r="K456" s="5">
        <v>0</v>
      </c>
      <c r="L456" s="5">
        <v>0</v>
      </c>
      <c r="N456" s="5">
        <f t="shared" si="131"/>
        <v>140</v>
      </c>
      <c r="O456" s="97">
        <f t="shared" si="132"/>
        <v>181.81818181818184</v>
      </c>
      <c r="P456" s="5">
        <f t="shared" si="133"/>
        <v>1.0349999999999999</v>
      </c>
      <c r="R456" s="96">
        <f t="shared" si="134"/>
        <v>4.1940731009518828</v>
      </c>
      <c r="S456" s="95">
        <f t="shared" si="135"/>
        <v>0.97461529352791332</v>
      </c>
      <c r="T456" s="96">
        <f t="shared" si="136"/>
        <v>60.099071555555561</v>
      </c>
      <c r="U456" s="97"/>
      <c r="V456" s="97">
        <f t="shared" si="140"/>
        <v>53.379112193933061</v>
      </c>
      <c r="W456" s="96">
        <f t="shared" si="130"/>
        <v>58.57347426487285</v>
      </c>
      <c r="X456" s="96">
        <f t="shared" si="143"/>
        <v>0.77347374269017855</v>
      </c>
      <c r="Y456" s="96">
        <f t="shared" si="137"/>
        <v>0.81507810163012584</v>
      </c>
      <c r="Z456" s="96">
        <f t="shared" si="141"/>
        <v>483.89146200790032</v>
      </c>
      <c r="AA456" s="97">
        <f t="shared" si="144"/>
        <v>-77.331462007899916</v>
      </c>
      <c r="AB456" s="97">
        <f t="shared" si="145"/>
        <v>252.66853799210003</v>
      </c>
      <c r="AC456" s="97">
        <f t="shared" si="146"/>
        <v>6387.8705451126116</v>
      </c>
      <c r="AD456" s="96"/>
      <c r="AE456" s="105">
        <f t="shared" si="138"/>
        <v>3.8914620079003157</v>
      </c>
    </row>
    <row r="457" spans="5:31" x14ac:dyDescent="0.35">
      <c r="E457" s="100">
        <f t="shared" si="129"/>
        <v>1.3159722222222716</v>
      </c>
      <c r="F457" s="5">
        <v>20</v>
      </c>
      <c r="G457" s="5">
        <f t="shared" si="142"/>
        <v>140</v>
      </c>
      <c r="H457" s="106">
        <f t="shared" si="142"/>
        <v>3.8194444444444443E-3</v>
      </c>
      <c r="I457" s="110">
        <f t="shared" si="139"/>
        <v>1.7687499999999998E-2</v>
      </c>
      <c r="J457" s="5">
        <v>1.05</v>
      </c>
      <c r="K457" s="5">
        <v>0</v>
      </c>
      <c r="L457" s="5">
        <v>0</v>
      </c>
      <c r="N457" s="5">
        <f t="shared" si="131"/>
        <v>140</v>
      </c>
      <c r="O457" s="97">
        <f t="shared" si="132"/>
        <v>181.81818181818184</v>
      </c>
      <c r="P457" s="5">
        <f t="shared" si="133"/>
        <v>1.0349999999999999</v>
      </c>
      <c r="R457" s="96">
        <f t="shared" si="134"/>
        <v>4.1940731009518828</v>
      </c>
      <c r="S457" s="95">
        <f t="shared" si="135"/>
        <v>0.97448012886153101</v>
      </c>
      <c r="T457" s="96">
        <f t="shared" si="136"/>
        <v>60.099071555555561</v>
      </c>
      <c r="U457" s="97"/>
      <c r="V457" s="97">
        <f t="shared" si="140"/>
        <v>53.379112193933061</v>
      </c>
      <c r="W457" s="96">
        <f t="shared" si="130"/>
        <v>58.565350993916155</v>
      </c>
      <c r="X457" s="96">
        <f t="shared" si="143"/>
        <v>0.77287229780999112</v>
      </c>
      <c r="Y457" s="96">
        <f t="shared" si="137"/>
        <v>0.80829388238168942</v>
      </c>
      <c r="Z457" s="96">
        <f t="shared" si="141"/>
        <v>484.69975589028201</v>
      </c>
      <c r="AA457" s="97">
        <f t="shared" si="144"/>
        <v>-78.139755890281606</v>
      </c>
      <c r="AB457" s="97">
        <f t="shared" si="145"/>
        <v>251.86024410971834</v>
      </c>
      <c r="AC457" s="97">
        <f t="shared" si="146"/>
        <v>6401.8679999390733</v>
      </c>
      <c r="AD457" s="96"/>
      <c r="AE457" s="105">
        <f t="shared" si="138"/>
        <v>4.699755890282006</v>
      </c>
    </row>
    <row r="458" spans="5:31" x14ac:dyDescent="0.35">
      <c r="E458" s="100">
        <f t="shared" si="129"/>
        <v>1.3166666666667162</v>
      </c>
      <c r="F458" s="5">
        <v>20</v>
      </c>
      <c r="G458" s="5">
        <f t="shared" si="142"/>
        <v>140</v>
      </c>
      <c r="H458" s="106">
        <f t="shared" si="142"/>
        <v>3.8194444444444443E-3</v>
      </c>
      <c r="I458" s="110">
        <f t="shared" si="139"/>
        <v>1.7687499999999998E-2</v>
      </c>
      <c r="J458" s="5">
        <v>1.05</v>
      </c>
      <c r="K458" s="5">
        <v>0</v>
      </c>
      <c r="L458" s="5">
        <v>0</v>
      </c>
      <c r="N458" s="5">
        <f t="shared" si="131"/>
        <v>140</v>
      </c>
      <c r="O458" s="97">
        <f t="shared" si="132"/>
        <v>181.81818181818184</v>
      </c>
      <c r="P458" s="5">
        <f t="shared" si="133"/>
        <v>1.0349999999999999</v>
      </c>
      <c r="R458" s="96">
        <f t="shared" si="134"/>
        <v>4.1940731009518828</v>
      </c>
      <c r="S458" s="95">
        <f t="shared" si="135"/>
        <v>0.97434608922443067</v>
      </c>
      <c r="T458" s="96">
        <f t="shared" si="136"/>
        <v>60.099071555555561</v>
      </c>
      <c r="U458" s="97"/>
      <c r="V458" s="97">
        <f t="shared" si="140"/>
        <v>53.379112193933061</v>
      </c>
      <c r="W458" s="96">
        <f t="shared" si="130"/>
        <v>58.557295336174782</v>
      </c>
      <c r="X458" s="96">
        <f t="shared" si="143"/>
        <v>0.77227585899477436</v>
      </c>
      <c r="Y458" s="96">
        <f t="shared" si="137"/>
        <v>0.80156795849104712</v>
      </c>
      <c r="Z458" s="96">
        <f t="shared" si="141"/>
        <v>485.50132384877304</v>
      </c>
      <c r="AA458" s="97">
        <f t="shared" si="144"/>
        <v>-78.941323848772655</v>
      </c>
      <c r="AB458" s="97">
        <f t="shared" si="145"/>
        <v>251.0586761512273</v>
      </c>
      <c r="AC458" s="97">
        <f t="shared" si="146"/>
        <v>6415.8635294171263</v>
      </c>
      <c r="AD458" s="96"/>
      <c r="AE458" s="105">
        <f t="shared" si="138"/>
        <v>5.5013238487730405</v>
      </c>
    </row>
    <row r="459" spans="5:31" x14ac:dyDescent="0.35">
      <c r="E459" s="100">
        <f t="shared" si="129"/>
        <v>1.3173611111111607</v>
      </c>
      <c r="F459" s="5">
        <v>20</v>
      </c>
      <c r="G459" s="5">
        <f t="shared" si="142"/>
        <v>140</v>
      </c>
      <c r="H459" s="106">
        <f t="shared" si="142"/>
        <v>3.8194444444444443E-3</v>
      </c>
      <c r="I459" s="110">
        <f t="shared" si="139"/>
        <v>1.7687499999999998E-2</v>
      </c>
      <c r="J459" s="5">
        <v>1.05</v>
      </c>
      <c r="K459" s="5">
        <v>0</v>
      </c>
      <c r="L459" s="5">
        <v>0</v>
      </c>
      <c r="N459" s="5">
        <f t="shared" si="131"/>
        <v>140</v>
      </c>
      <c r="O459" s="97">
        <f t="shared" si="132"/>
        <v>181.81818181818184</v>
      </c>
      <c r="P459" s="5">
        <f t="shared" si="133"/>
        <v>1.0349999999999999</v>
      </c>
      <c r="R459" s="96">
        <f t="shared" si="134"/>
        <v>4.1940731009518828</v>
      </c>
      <c r="S459" s="95">
        <f t="shared" si="135"/>
        <v>0.97421316494947408</v>
      </c>
      <c r="T459" s="96">
        <f t="shared" si="136"/>
        <v>60.099071555555561</v>
      </c>
      <c r="U459" s="97"/>
      <c r="V459" s="97">
        <f t="shared" si="140"/>
        <v>53.379112193933061</v>
      </c>
      <c r="W459" s="96">
        <f t="shared" si="130"/>
        <v>58.549306710662698</v>
      </c>
      <c r="X459" s="96">
        <f t="shared" si="143"/>
        <v>0.77168438322847344</v>
      </c>
      <c r="Y459" s="96">
        <f t="shared" si="137"/>
        <v>0.79489979924404897</v>
      </c>
      <c r="Z459" s="96">
        <f t="shared" si="141"/>
        <v>486.29622364801708</v>
      </c>
      <c r="AA459" s="97">
        <f t="shared" si="144"/>
        <v>-79.736223648016704</v>
      </c>
      <c r="AB459" s="97">
        <f t="shared" si="145"/>
        <v>250.26377635198327</v>
      </c>
      <c r="AC459" s="97">
        <f t="shared" si="146"/>
        <v>6429.857149567858</v>
      </c>
      <c r="AD459" s="96"/>
      <c r="AE459" s="105">
        <f t="shared" si="138"/>
        <v>6.2962236480170759</v>
      </c>
    </row>
    <row r="460" spans="5:31" x14ac:dyDescent="0.35">
      <c r="E460" s="100">
        <f t="shared" si="129"/>
        <v>1.3180555555556053</v>
      </c>
      <c r="F460" s="5">
        <v>20</v>
      </c>
      <c r="G460" s="5">
        <f t="shared" si="142"/>
        <v>140</v>
      </c>
      <c r="H460" s="106">
        <f t="shared" si="142"/>
        <v>3.8194444444444443E-3</v>
      </c>
      <c r="I460" s="110">
        <f t="shared" si="139"/>
        <v>1.7687499999999998E-2</v>
      </c>
      <c r="J460" s="5">
        <v>1.05</v>
      </c>
      <c r="K460" s="5">
        <v>0</v>
      </c>
      <c r="L460" s="5">
        <v>0</v>
      </c>
      <c r="N460" s="5">
        <f t="shared" si="131"/>
        <v>140</v>
      </c>
      <c r="O460" s="97">
        <f t="shared" si="132"/>
        <v>181.81818181818184</v>
      </c>
      <c r="P460" s="5">
        <f t="shared" si="133"/>
        <v>1.0349999999999999</v>
      </c>
      <c r="R460" s="96">
        <f t="shared" si="134"/>
        <v>4.1940731009518828</v>
      </c>
      <c r="S460" s="95">
        <f t="shared" si="135"/>
        <v>0.97408134645753153</v>
      </c>
      <c r="T460" s="96">
        <f t="shared" si="136"/>
        <v>60.099071555555561</v>
      </c>
      <c r="U460" s="97"/>
      <c r="V460" s="97">
        <f t="shared" si="140"/>
        <v>53.379112193933061</v>
      </c>
      <c r="W460" s="96">
        <f t="shared" si="130"/>
        <v>58.541384541683094</v>
      </c>
      <c r="X460" s="96">
        <f t="shared" si="143"/>
        <v>0.77109782788664638</v>
      </c>
      <c r="Y460" s="96">
        <f t="shared" si="137"/>
        <v>0.78828887924063795</v>
      </c>
      <c r="Z460" s="96">
        <f t="shared" si="141"/>
        <v>487.08451252725769</v>
      </c>
      <c r="AA460" s="97">
        <f t="shared" si="144"/>
        <v>-80.524512527257343</v>
      </c>
      <c r="AB460" s="97">
        <f t="shared" si="145"/>
        <v>249.47548747274263</v>
      </c>
      <c r="AC460" s="97">
        <f t="shared" si="146"/>
        <v>6443.8488762747611</v>
      </c>
      <c r="AD460" s="96"/>
      <c r="AE460" s="105">
        <f t="shared" si="138"/>
        <v>7.0845125272576865</v>
      </c>
    </row>
    <row r="461" spans="5:31" x14ac:dyDescent="0.35">
      <c r="E461" s="100">
        <f t="shared" si="129"/>
        <v>1.3187500000000498</v>
      </c>
      <c r="F461" s="5">
        <v>20</v>
      </c>
      <c r="G461" s="5">
        <f t="shared" si="142"/>
        <v>140</v>
      </c>
      <c r="H461" s="106">
        <f t="shared" si="142"/>
        <v>3.8194444444444443E-3</v>
      </c>
      <c r="I461" s="110">
        <f t="shared" si="139"/>
        <v>1.7687499999999998E-2</v>
      </c>
      <c r="J461" s="5">
        <v>1.05</v>
      </c>
      <c r="K461" s="5">
        <v>0</v>
      </c>
      <c r="L461" s="5">
        <v>0</v>
      </c>
      <c r="N461" s="5">
        <f t="shared" si="131"/>
        <v>140</v>
      </c>
      <c r="O461" s="97">
        <f t="shared" si="132"/>
        <v>181.81818181818184</v>
      </c>
      <c r="P461" s="5">
        <f t="shared" si="133"/>
        <v>1.0349999999999999</v>
      </c>
      <c r="R461" s="96">
        <f t="shared" si="134"/>
        <v>4.1940731009518828</v>
      </c>
      <c r="S461" s="95">
        <f t="shared" si="135"/>
        <v>0.97395062425660073</v>
      </c>
      <c r="T461" s="96">
        <f t="shared" si="136"/>
        <v>60.099071555555561</v>
      </c>
      <c r="U461" s="97"/>
      <c r="V461" s="97">
        <f t="shared" si="140"/>
        <v>53.379112193933061</v>
      </c>
      <c r="W461" s="96">
        <f t="shared" si="130"/>
        <v>58.533528258775455</v>
      </c>
      <c r="X461" s="96">
        <f t="shared" si="143"/>
        <v>0.7705161507325432</v>
      </c>
      <c r="Y461" s="96">
        <f t="shared" si="137"/>
        <v>0.78173467833397525</v>
      </c>
      <c r="Z461" s="96">
        <f t="shared" si="141"/>
        <v>487.86624720559166</v>
      </c>
      <c r="AA461" s="97">
        <f t="shared" si="144"/>
        <v>-81.306247205591319</v>
      </c>
      <c r="AB461" s="97">
        <f t="shared" si="145"/>
        <v>248.69375279440865</v>
      </c>
      <c r="AC461" s="97">
        <f t="shared" si="146"/>
        <v>6457.8387252849843</v>
      </c>
      <c r="AD461" s="96"/>
      <c r="AE461" s="105">
        <f t="shared" si="138"/>
        <v>7.8662472055916624</v>
      </c>
    </row>
    <row r="462" spans="5:31" x14ac:dyDescent="0.35">
      <c r="E462" s="100">
        <f t="shared" si="129"/>
        <v>1.3194444444444944</v>
      </c>
      <c r="F462" s="5">
        <v>20</v>
      </c>
      <c r="G462" s="5">
        <f t="shared" si="142"/>
        <v>140</v>
      </c>
      <c r="H462" s="106">
        <f t="shared" si="142"/>
        <v>3.8194444444444443E-3</v>
      </c>
      <c r="I462" s="110">
        <f t="shared" si="139"/>
        <v>1.7687499999999998E-2</v>
      </c>
      <c r="J462" s="5">
        <v>1.05</v>
      </c>
      <c r="K462" s="5">
        <v>0</v>
      </c>
      <c r="L462" s="5">
        <v>0</v>
      </c>
      <c r="N462" s="5">
        <f t="shared" si="131"/>
        <v>140</v>
      </c>
      <c r="O462" s="97">
        <f t="shared" si="132"/>
        <v>181.81818181818184</v>
      </c>
      <c r="P462" s="5">
        <f t="shared" si="133"/>
        <v>1.0349999999999999</v>
      </c>
      <c r="R462" s="96">
        <f t="shared" si="134"/>
        <v>4.1940731009518828</v>
      </c>
      <c r="S462" s="95">
        <f t="shared" si="135"/>
        <v>0.97382098894093583</v>
      </c>
      <c r="T462" s="96">
        <f t="shared" si="136"/>
        <v>60.099071555555561</v>
      </c>
      <c r="U462" s="97"/>
      <c r="V462" s="97">
        <f t="shared" si="140"/>
        <v>53.379112193933061</v>
      </c>
      <c r="W462" s="96">
        <f t="shared" si="130"/>
        <v>58.525737296663181</v>
      </c>
      <c r="X462" s="96">
        <f t="shared" si="143"/>
        <v>0.76993930991322945</v>
      </c>
      <c r="Y462" s="96">
        <f t="shared" si="137"/>
        <v>0.77523668157037506</v>
      </c>
      <c r="Z462" s="96">
        <f t="shared" si="141"/>
        <v>488.64148388716205</v>
      </c>
      <c r="AA462" s="97">
        <f t="shared" si="144"/>
        <v>-82.081483887161696</v>
      </c>
      <c r="AB462" s="97">
        <f t="shared" si="145"/>
        <v>247.91851611283829</v>
      </c>
      <c r="AC462" s="97">
        <f t="shared" si="146"/>
        <v>6471.8267122105726</v>
      </c>
      <c r="AD462" s="96"/>
      <c r="AE462" s="105">
        <f t="shared" si="138"/>
        <v>8.6414838871620532</v>
      </c>
    </row>
    <row r="463" spans="5:31" x14ac:dyDescent="0.35">
      <c r="E463" s="100">
        <f t="shared" si="129"/>
        <v>1.3201388888889389</v>
      </c>
      <c r="F463" s="5">
        <v>20</v>
      </c>
      <c r="G463" s="5">
        <f t="shared" si="142"/>
        <v>140</v>
      </c>
      <c r="H463" s="106">
        <f t="shared" si="142"/>
        <v>3.8194444444444443E-3</v>
      </c>
      <c r="I463" s="110">
        <f t="shared" si="139"/>
        <v>1.7687499999999998E-2</v>
      </c>
      <c r="J463" s="5">
        <v>1.05</v>
      </c>
      <c r="K463" s="5">
        <v>0</v>
      </c>
      <c r="L463" s="5">
        <v>0</v>
      </c>
      <c r="N463" s="5">
        <f t="shared" si="131"/>
        <v>140</v>
      </c>
      <c r="O463" s="97">
        <f t="shared" si="132"/>
        <v>181.81818181818184</v>
      </c>
      <c r="P463" s="5">
        <f t="shared" si="133"/>
        <v>1.0349999999999999</v>
      </c>
      <c r="R463" s="96">
        <f t="shared" si="134"/>
        <v>4.1940731009518828</v>
      </c>
      <c r="S463" s="95">
        <f t="shared" si="135"/>
        <v>0.97369243119018511</v>
      </c>
      <c r="T463" s="96">
        <f t="shared" si="136"/>
        <v>60.099071555555561</v>
      </c>
      <c r="U463" s="97"/>
      <c r="V463" s="97">
        <f t="shared" si="140"/>
        <v>53.379112193933061</v>
      </c>
      <c r="W463" s="96">
        <f t="shared" si="130"/>
        <v>58.518011095201793</v>
      </c>
      <c r="X463" s="96">
        <f t="shared" si="143"/>
        <v>0.76936726395575428</v>
      </c>
      <c r="Y463" s="96">
        <f t="shared" si="137"/>
        <v>0.76879437913004223</v>
      </c>
      <c r="Z463" s="96">
        <f t="shared" si="141"/>
        <v>489.4102782662921</v>
      </c>
      <c r="AA463" s="97">
        <f t="shared" si="144"/>
        <v>-82.850278266291738</v>
      </c>
      <c r="AB463" s="97">
        <f t="shared" si="145"/>
        <v>247.14972173370825</v>
      </c>
      <c r="AC463" s="97">
        <f t="shared" si="146"/>
        <v>6485.8128525296934</v>
      </c>
      <c r="AD463" s="96"/>
      <c r="AE463" s="105">
        <f t="shared" si="138"/>
        <v>9.4102782662920959</v>
      </c>
    </row>
    <row r="464" spans="5:31" x14ac:dyDescent="0.35">
      <c r="E464" s="100">
        <f t="shared" si="129"/>
        <v>1.3208333333333835</v>
      </c>
      <c r="F464" s="5">
        <v>20</v>
      </c>
      <c r="G464" s="5">
        <f t="shared" si="142"/>
        <v>140</v>
      </c>
      <c r="H464" s="106">
        <f t="shared" si="142"/>
        <v>3.8194444444444443E-3</v>
      </c>
      <c r="I464" s="110">
        <f t="shared" si="139"/>
        <v>1.7687499999999998E-2</v>
      </c>
      <c r="J464" s="5">
        <v>1.05</v>
      </c>
      <c r="K464" s="5">
        <v>0</v>
      </c>
      <c r="L464" s="5">
        <v>0</v>
      </c>
      <c r="N464" s="5">
        <f t="shared" si="131"/>
        <v>140</v>
      </c>
      <c r="O464" s="97">
        <f t="shared" si="132"/>
        <v>181.81818181818184</v>
      </c>
      <c r="P464" s="5">
        <f t="shared" si="133"/>
        <v>1.0349999999999999</v>
      </c>
      <c r="R464" s="96">
        <f t="shared" si="134"/>
        <v>4.1940731009518828</v>
      </c>
      <c r="S464" s="95">
        <f t="shared" si="135"/>
        <v>0.97356494176854069</v>
      </c>
      <c r="T464" s="96">
        <f t="shared" si="136"/>
        <v>60.099071555555561</v>
      </c>
      <c r="U464" s="97"/>
      <c r="V464" s="97">
        <f t="shared" si="140"/>
        <v>53.379112193933061</v>
      </c>
      <c r="W464" s="96">
        <f t="shared" si="130"/>
        <v>58.510349099327811</v>
      </c>
      <c r="X464" s="96">
        <f t="shared" si="143"/>
        <v>0.7687999717633619</v>
      </c>
      <c r="Y464" s="96">
        <f t="shared" si="137"/>
        <v>0.762407266268599</v>
      </c>
      <c r="Z464" s="96">
        <f t="shared" si="141"/>
        <v>490.17268553256071</v>
      </c>
      <c r="AA464" s="97">
        <f t="shared" si="144"/>
        <v>-83.612685532560334</v>
      </c>
      <c r="AB464" s="97">
        <f t="shared" si="145"/>
        <v>246.38731446743964</v>
      </c>
      <c r="AC464" s="97">
        <f t="shared" si="146"/>
        <v>6499.7971615878505</v>
      </c>
      <c r="AD464" s="96"/>
      <c r="AE464" s="105">
        <f t="shared" si="138"/>
        <v>10.172685532560706</v>
      </c>
    </row>
    <row r="465" spans="5:31" x14ac:dyDescent="0.35">
      <c r="E465" s="100">
        <f t="shared" si="129"/>
        <v>1.321527777777828</v>
      </c>
      <c r="F465" s="5">
        <v>20</v>
      </c>
      <c r="G465" s="5">
        <f t="shared" si="142"/>
        <v>140</v>
      </c>
      <c r="H465" s="106">
        <f t="shared" si="142"/>
        <v>3.8194444444444443E-3</v>
      </c>
      <c r="I465" s="110">
        <f t="shared" si="139"/>
        <v>1.7687499999999998E-2</v>
      </c>
      <c r="J465" s="5">
        <v>1.05</v>
      </c>
      <c r="K465" s="5">
        <v>0</v>
      </c>
      <c r="L465" s="5">
        <v>0</v>
      </c>
      <c r="N465" s="5">
        <f t="shared" si="131"/>
        <v>140</v>
      </c>
      <c r="O465" s="97">
        <f t="shared" si="132"/>
        <v>181.81818181818184</v>
      </c>
      <c r="P465" s="5">
        <f t="shared" si="133"/>
        <v>1.0349999999999999</v>
      </c>
      <c r="R465" s="96">
        <f t="shared" si="134"/>
        <v>4.1940731009518828</v>
      </c>
      <c r="S465" s="95">
        <f t="shared" si="135"/>
        <v>0.97343851152389727</v>
      </c>
      <c r="T465" s="96">
        <f t="shared" si="136"/>
        <v>60.099071555555561</v>
      </c>
      <c r="U465" s="97"/>
      <c r="V465" s="97">
        <f t="shared" si="140"/>
        <v>53.379112193933061</v>
      </c>
      <c r="W465" s="96">
        <f t="shared" si="130"/>
        <v>58.502750759008201</v>
      </c>
      <c r="X465" s="96">
        <f t="shared" si="143"/>
        <v>0.76823739261174695</v>
      </c>
      <c r="Y465" s="96">
        <f t="shared" si="137"/>
        <v>0.756074843259398</v>
      </c>
      <c r="Z465" s="96">
        <f t="shared" si="141"/>
        <v>490.9287603758201</v>
      </c>
      <c r="AA465" s="97">
        <f t="shared" si="144"/>
        <v>-84.368760375819733</v>
      </c>
      <c r="AB465" s="97">
        <f t="shared" si="145"/>
        <v>245.63123962418024</v>
      </c>
      <c r="AC465" s="97">
        <f t="shared" si="146"/>
        <v>6513.7796545990859</v>
      </c>
      <c r="AD465" s="96"/>
      <c r="AE465" s="105">
        <f t="shared" si="138"/>
        <v>10.928760375820104</v>
      </c>
    </row>
    <row r="466" spans="5:31" x14ac:dyDescent="0.35">
      <c r="E466" s="100">
        <f t="shared" si="129"/>
        <v>1.3222222222222726</v>
      </c>
      <c r="F466" s="5">
        <v>20</v>
      </c>
      <c r="G466" s="5">
        <f t="shared" si="142"/>
        <v>140</v>
      </c>
      <c r="H466" s="106">
        <f t="shared" si="142"/>
        <v>3.8194444444444443E-3</v>
      </c>
      <c r="I466" s="110">
        <f t="shared" si="139"/>
        <v>1.7687499999999998E-2</v>
      </c>
      <c r="J466" s="5">
        <v>1.05</v>
      </c>
      <c r="K466" s="5">
        <v>0</v>
      </c>
      <c r="L466" s="5">
        <v>0</v>
      </c>
      <c r="N466" s="5">
        <f t="shared" si="131"/>
        <v>140</v>
      </c>
      <c r="O466" s="97">
        <f t="shared" si="132"/>
        <v>181.81818181818184</v>
      </c>
      <c r="P466" s="5">
        <f t="shared" si="133"/>
        <v>1.0349999999999999</v>
      </c>
      <c r="R466" s="96">
        <f t="shared" si="134"/>
        <v>4.1940731009518828</v>
      </c>
      <c r="S466" s="95">
        <f t="shared" si="135"/>
        <v>0.97331313138701836</v>
      </c>
      <c r="T466" s="96">
        <f t="shared" si="136"/>
        <v>60.099071555555561</v>
      </c>
      <c r="U466" s="97"/>
      <c r="V466" s="97">
        <f t="shared" si="140"/>
        <v>53.379112193933061</v>
      </c>
      <c r="W466" s="96">
        <f t="shared" si="130"/>
        <v>58.495215529190268</v>
      </c>
      <c r="X466" s="96">
        <f t="shared" si="143"/>
        <v>0.76767948614535131</v>
      </c>
      <c r="Y466" s="96">
        <f t="shared" si="137"/>
        <v>0.74979661533658604</v>
      </c>
      <c r="Z466" s="96">
        <f t="shared" si="141"/>
        <v>491.67855699115671</v>
      </c>
      <c r="AA466" s="97">
        <f t="shared" si="144"/>
        <v>-85.118556991156325</v>
      </c>
      <c r="AB466" s="97">
        <f t="shared" si="145"/>
        <v>244.88144300884366</v>
      </c>
      <c r="AC466" s="97">
        <f t="shared" si="146"/>
        <v>6527.7603466471719</v>
      </c>
      <c r="AD466" s="96"/>
      <c r="AE466" s="105">
        <f t="shared" si="138"/>
        <v>11.678556991156711</v>
      </c>
    </row>
    <row r="467" spans="5:31" x14ac:dyDescent="0.35">
      <c r="E467" s="100">
        <f t="shared" si="129"/>
        <v>1.3229166666667171</v>
      </c>
      <c r="F467" s="5">
        <v>20</v>
      </c>
      <c r="G467" s="5">
        <f t="shared" si="142"/>
        <v>140</v>
      </c>
      <c r="H467" s="106">
        <f t="shared" si="142"/>
        <v>3.8194444444444443E-3</v>
      </c>
      <c r="I467" s="110">
        <f t="shared" si="139"/>
        <v>1.7687499999999998E-2</v>
      </c>
      <c r="J467" s="5">
        <v>1.05</v>
      </c>
      <c r="K467" s="5">
        <v>0</v>
      </c>
      <c r="L467" s="5">
        <v>0</v>
      </c>
      <c r="N467" s="5">
        <f t="shared" si="131"/>
        <v>140</v>
      </c>
      <c r="O467" s="97">
        <f t="shared" si="132"/>
        <v>181.81818181818184</v>
      </c>
      <c r="P467" s="5">
        <f t="shared" si="133"/>
        <v>1.0349999999999999</v>
      </c>
      <c r="R467" s="96">
        <f t="shared" si="134"/>
        <v>4.1940731009518828</v>
      </c>
      <c r="S467" s="95">
        <f t="shared" si="135"/>
        <v>0.97318879237071576</v>
      </c>
      <c r="T467" s="96">
        <f t="shared" si="136"/>
        <v>60.099071555555561</v>
      </c>
      <c r="U467" s="97"/>
      <c r="V467" s="97">
        <f t="shared" si="140"/>
        <v>53.379112193933061</v>
      </c>
      <c r="W467" s="96">
        <f t="shared" si="130"/>
        <v>58.487742869752353</v>
      </c>
      <c r="X467" s="96">
        <f t="shared" si="143"/>
        <v>0.76712621237370393</v>
      </c>
      <c r="Y467" s="96">
        <f t="shared" si="137"/>
        <v>0.74357209263893687</v>
      </c>
      <c r="Z467" s="96">
        <f t="shared" si="141"/>
        <v>492.42212908379565</v>
      </c>
      <c r="AA467" s="97">
        <f t="shared" si="144"/>
        <v>-85.862129083795267</v>
      </c>
      <c r="AB467" s="97">
        <f t="shared" si="145"/>
        <v>244.13787091620472</v>
      </c>
      <c r="AC467" s="97">
        <f t="shared" si="146"/>
        <v>6541.7392526867879</v>
      </c>
      <c r="AD467" s="96"/>
      <c r="AE467" s="105">
        <f t="shared" si="138"/>
        <v>12.422129083795653</v>
      </c>
    </row>
    <row r="468" spans="5:31" x14ac:dyDescent="0.35">
      <c r="E468" s="100">
        <f t="shared" si="129"/>
        <v>1.3236111111111617</v>
      </c>
      <c r="F468" s="5">
        <v>20</v>
      </c>
      <c r="G468" s="5">
        <f t="shared" si="142"/>
        <v>140</v>
      </c>
      <c r="H468" s="106">
        <f t="shared" si="142"/>
        <v>3.8194444444444443E-3</v>
      </c>
      <c r="I468" s="110">
        <f t="shared" si="139"/>
        <v>1.7687499999999998E-2</v>
      </c>
      <c r="J468" s="5">
        <v>1.05</v>
      </c>
      <c r="K468" s="5">
        <v>0</v>
      </c>
      <c r="L468" s="5">
        <v>0</v>
      </c>
      <c r="N468" s="5">
        <f t="shared" si="131"/>
        <v>140</v>
      </c>
      <c r="O468" s="97">
        <f t="shared" si="132"/>
        <v>181.81818181818184</v>
      </c>
      <c r="P468" s="5">
        <f t="shared" si="133"/>
        <v>1.0349999999999999</v>
      </c>
      <c r="R468" s="96">
        <f t="shared" si="134"/>
        <v>4.1940731009518828</v>
      </c>
      <c r="S468" s="95">
        <f t="shared" si="135"/>
        <v>0.97306548556903416</v>
      </c>
      <c r="T468" s="96">
        <f t="shared" si="136"/>
        <v>60.099071555555561</v>
      </c>
      <c r="U468" s="97"/>
      <c r="V468" s="97">
        <f t="shared" si="140"/>
        <v>53.379112193933061</v>
      </c>
      <c r="W468" s="96">
        <f t="shared" si="130"/>
        <v>58.480332245454804</v>
      </c>
      <c r="X468" s="96">
        <f t="shared" si="143"/>
        <v>0.76657753166780151</v>
      </c>
      <c r="Y468" s="96">
        <f t="shared" si="137"/>
        <v>0.7374007901544174</v>
      </c>
      <c r="Z468" s="96">
        <f t="shared" si="141"/>
        <v>493.15952987395008</v>
      </c>
      <c r="AA468" s="97">
        <f t="shared" si="144"/>
        <v>-86.599529873949677</v>
      </c>
      <c r="AB468" s="97">
        <f t="shared" si="145"/>
        <v>243.40047012605029</v>
      </c>
      <c r="AC468" s="97">
        <f t="shared" si="146"/>
        <v>6555.7163875446886</v>
      </c>
      <c r="AD468" s="96"/>
      <c r="AE468" s="105">
        <f t="shared" si="138"/>
        <v>13.159529873950078</v>
      </c>
    </row>
    <row r="469" spans="5:31" x14ac:dyDescent="0.35">
      <c r="E469" s="100">
        <f t="shared" si="129"/>
        <v>1.3243055555556063</v>
      </c>
      <c r="F469" s="5">
        <v>20</v>
      </c>
      <c r="G469" s="5">
        <f t="shared" si="142"/>
        <v>140</v>
      </c>
      <c r="H469" s="106">
        <f t="shared" si="142"/>
        <v>3.8194444444444443E-3</v>
      </c>
      <c r="I469" s="110">
        <f t="shared" si="139"/>
        <v>1.7687499999999998E-2</v>
      </c>
      <c r="J469" s="5">
        <v>1.05</v>
      </c>
      <c r="K469" s="5">
        <v>0</v>
      </c>
      <c r="L469" s="5">
        <v>0</v>
      </c>
      <c r="N469" s="5">
        <f t="shared" si="131"/>
        <v>140</v>
      </c>
      <c r="O469" s="97">
        <f t="shared" si="132"/>
        <v>181.81818181818184</v>
      </c>
      <c r="P469" s="5">
        <f t="shared" si="133"/>
        <v>1.0349999999999999</v>
      </c>
      <c r="R469" s="96">
        <f t="shared" si="134"/>
        <v>4.1940731009518828</v>
      </c>
      <c r="S469" s="95">
        <f t="shared" si="135"/>
        <v>0.97294320215644836</v>
      </c>
      <c r="T469" s="96">
        <f t="shared" si="136"/>
        <v>60.099071555555561</v>
      </c>
      <c r="U469" s="97"/>
      <c r="V469" s="97">
        <f t="shared" si="140"/>
        <v>53.379112193933061</v>
      </c>
      <c r="W469" s="96">
        <f t="shared" si="130"/>
        <v>58.472983125891751</v>
      </c>
      <c r="X469" s="96">
        <f t="shared" si="143"/>
        <v>0.76603340475653048</v>
      </c>
      <c r="Y469" s="96">
        <f t="shared" si="137"/>
        <v>0.73128222766549045</v>
      </c>
      <c r="Z469" s="96">
        <f t="shared" si="141"/>
        <v>493.89081210161555</v>
      </c>
      <c r="AA469" s="97">
        <f t="shared" si="144"/>
        <v>-87.330812101615166</v>
      </c>
      <c r="AB469" s="97">
        <f t="shared" si="145"/>
        <v>242.66918789838479</v>
      </c>
      <c r="AC469" s="97">
        <f t="shared" si="146"/>
        <v>6569.6917659208575</v>
      </c>
      <c r="AD469" s="96"/>
      <c r="AE469" s="105">
        <f t="shared" si="138"/>
        <v>13.890812101615552</v>
      </c>
    </row>
    <row r="470" spans="5:31" x14ac:dyDescent="0.35">
      <c r="E470" s="100">
        <f t="shared" si="129"/>
        <v>1.3250000000000508</v>
      </c>
      <c r="F470" s="5">
        <v>20</v>
      </c>
      <c r="G470" s="5">
        <f t="shared" si="142"/>
        <v>140</v>
      </c>
      <c r="H470" s="106">
        <f t="shared" si="142"/>
        <v>3.8194444444444443E-3</v>
      </c>
      <c r="I470" s="110">
        <f t="shared" si="139"/>
        <v>1.7687499999999998E-2</v>
      </c>
      <c r="J470" s="5">
        <v>1.05</v>
      </c>
      <c r="K470" s="5">
        <v>0</v>
      </c>
      <c r="L470" s="5">
        <v>0</v>
      </c>
      <c r="N470" s="5">
        <f t="shared" si="131"/>
        <v>140</v>
      </c>
      <c r="O470" s="97">
        <f t="shared" si="132"/>
        <v>181.81818181818184</v>
      </c>
      <c r="P470" s="5">
        <f t="shared" si="133"/>
        <v>1.0349999999999999</v>
      </c>
      <c r="R470" s="96">
        <f t="shared" si="134"/>
        <v>4.1940731009518828</v>
      </c>
      <c r="S470" s="95">
        <f t="shared" si="135"/>
        <v>0.97282193338706757</v>
      </c>
      <c r="T470" s="96">
        <f t="shared" si="136"/>
        <v>60.099071555555561</v>
      </c>
      <c r="U470" s="97"/>
      <c r="V470" s="97">
        <f t="shared" si="140"/>
        <v>53.379112193933061</v>
      </c>
      <c r="W470" s="96">
        <f t="shared" si="130"/>
        <v>58.465694985443278</v>
      </c>
      <c r="X470" s="96">
        <f t="shared" si="143"/>
        <v>0.76549379272312912</v>
      </c>
      <c r="Y470" s="96">
        <f t="shared" si="137"/>
        <v>0.72521592969513526</v>
      </c>
      <c r="Z470" s="96">
        <f t="shared" si="141"/>
        <v>494.61602803131069</v>
      </c>
      <c r="AA470" s="97">
        <f t="shared" si="144"/>
        <v>-88.056028031310305</v>
      </c>
      <c r="AB470" s="97">
        <f t="shared" si="145"/>
        <v>241.94397196868965</v>
      </c>
      <c r="AC470" s="97">
        <f t="shared" si="146"/>
        <v>6583.6654023896535</v>
      </c>
      <c r="AD470" s="96"/>
      <c r="AE470" s="105">
        <f t="shared" si="138"/>
        <v>14.616028031310691</v>
      </c>
    </row>
    <row r="471" spans="5:31" x14ac:dyDescent="0.35">
      <c r="E471" s="100">
        <f t="shared" si="129"/>
        <v>1.3256944444444954</v>
      </c>
      <c r="F471" s="5">
        <v>20</v>
      </c>
      <c r="G471" s="5">
        <f t="shared" si="142"/>
        <v>140</v>
      </c>
      <c r="H471" s="106">
        <f t="shared" si="142"/>
        <v>3.8194444444444443E-3</v>
      </c>
      <c r="I471" s="110">
        <f t="shared" si="139"/>
        <v>1.7687499999999998E-2</v>
      </c>
      <c r="J471" s="5">
        <v>1.05</v>
      </c>
      <c r="K471" s="5">
        <v>0</v>
      </c>
      <c r="L471" s="5">
        <v>0</v>
      </c>
      <c r="N471" s="5">
        <f t="shared" si="131"/>
        <v>140</v>
      </c>
      <c r="O471" s="97">
        <f t="shared" si="132"/>
        <v>181.81818181818184</v>
      </c>
      <c r="P471" s="5">
        <f t="shared" si="133"/>
        <v>1.0349999999999999</v>
      </c>
      <c r="R471" s="96">
        <f t="shared" si="134"/>
        <v>4.1940731009518828</v>
      </c>
      <c r="S471" s="95">
        <f t="shared" si="135"/>
        <v>0.97270167059385026</v>
      </c>
      <c r="T471" s="96">
        <f t="shared" si="136"/>
        <v>60.099071555555561</v>
      </c>
      <c r="U471" s="97"/>
      <c r="V471" s="97">
        <f t="shared" si="140"/>
        <v>53.379112193933061</v>
      </c>
      <c r="W471" s="96">
        <f t="shared" si="130"/>
        <v>58.45846730322824</v>
      </c>
      <c r="X471" s="96">
        <f t="shared" si="143"/>
        <v>0.76495865700168941</v>
      </c>
      <c r="Y471" s="96">
        <f t="shared" si="137"/>
        <v>0.71920142545357602</v>
      </c>
      <c r="Z471" s="96">
        <f t="shared" si="141"/>
        <v>495.33522945676424</v>
      </c>
      <c r="AA471" s="97">
        <f t="shared" si="144"/>
        <v>-88.775229456763881</v>
      </c>
      <c r="AB471" s="97">
        <f t="shared" si="145"/>
        <v>241.22477054323608</v>
      </c>
      <c r="AC471" s="97">
        <f t="shared" si="146"/>
        <v>6597.6373114009411</v>
      </c>
      <c r="AD471" s="96"/>
      <c r="AE471" s="105">
        <f t="shared" si="138"/>
        <v>15.335229456764239</v>
      </c>
    </row>
    <row r="472" spans="5:31" x14ac:dyDescent="0.35">
      <c r="E472" s="100">
        <f t="shared" si="129"/>
        <v>1.3263888888889399</v>
      </c>
      <c r="F472" s="5">
        <v>20</v>
      </c>
      <c r="G472" s="5">
        <f t="shared" si="142"/>
        <v>140</v>
      </c>
      <c r="H472" s="106">
        <f t="shared" si="142"/>
        <v>3.8194444444444443E-3</v>
      </c>
      <c r="I472" s="110">
        <f t="shared" si="139"/>
        <v>1.7687499999999998E-2</v>
      </c>
      <c r="J472" s="5">
        <v>1.05</v>
      </c>
      <c r="K472" s="5">
        <v>0</v>
      </c>
      <c r="L472" s="5">
        <v>0</v>
      </c>
      <c r="N472" s="5">
        <f t="shared" si="131"/>
        <v>140</v>
      </c>
      <c r="O472" s="97">
        <f t="shared" si="132"/>
        <v>181.81818181818184</v>
      </c>
      <c r="P472" s="5">
        <f t="shared" si="133"/>
        <v>1.0349999999999999</v>
      </c>
      <c r="R472" s="96">
        <f t="shared" si="134"/>
        <v>4.1940731009518828</v>
      </c>
      <c r="S472" s="95">
        <f t="shared" si="135"/>
        <v>0.97258240518782513</v>
      </c>
      <c r="T472" s="96">
        <f t="shared" si="136"/>
        <v>60.099071555555561</v>
      </c>
      <c r="U472" s="97"/>
      <c r="V472" s="97">
        <f t="shared" si="140"/>
        <v>53.379112193933061</v>
      </c>
      <c r="W472" s="96">
        <f t="shared" si="130"/>
        <v>58.451299563057432</v>
      </c>
      <c r="X472" s="96">
        <f t="shared" si="143"/>
        <v>0.76442795937369834</v>
      </c>
      <c r="Y472" s="96">
        <f t="shared" si="137"/>
        <v>0.71323824878570796</v>
      </c>
      <c r="Z472" s="96">
        <f t="shared" si="141"/>
        <v>496.04846770554997</v>
      </c>
      <c r="AA472" s="97">
        <f t="shared" si="144"/>
        <v>-89.488467705549596</v>
      </c>
      <c r="AB472" s="97">
        <f t="shared" si="145"/>
        <v>240.51153229445038</v>
      </c>
      <c r="AC472" s="97">
        <f t="shared" si="146"/>
        <v>6611.6075072812127</v>
      </c>
      <c r="AD472" s="96"/>
      <c r="AE472" s="105">
        <f t="shared" si="138"/>
        <v>16.048467705549967</v>
      </c>
    </row>
    <row r="473" spans="5:31" x14ac:dyDescent="0.35">
      <c r="E473" s="100">
        <f t="shared" si="129"/>
        <v>1.3270833333333845</v>
      </c>
      <c r="F473" s="5">
        <v>20</v>
      </c>
      <c r="G473" s="5">
        <f t="shared" si="142"/>
        <v>140</v>
      </c>
      <c r="H473" s="106">
        <f t="shared" si="142"/>
        <v>3.8194444444444443E-3</v>
      </c>
      <c r="I473" s="110">
        <f t="shared" si="139"/>
        <v>1.7687499999999998E-2</v>
      </c>
      <c r="J473" s="5">
        <v>1.05</v>
      </c>
      <c r="K473" s="5">
        <v>0</v>
      </c>
      <c r="L473" s="5">
        <v>0</v>
      </c>
      <c r="N473" s="5">
        <f t="shared" si="131"/>
        <v>140</v>
      </c>
      <c r="O473" s="97">
        <f t="shared" si="132"/>
        <v>181.81818181818184</v>
      </c>
      <c r="P473" s="5">
        <f t="shared" si="133"/>
        <v>1.0349999999999999</v>
      </c>
      <c r="R473" s="96">
        <f t="shared" si="134"/>
        <v>4.1940731009518828</v>
      </c>
      <c r="S473" s="95">
        <f t="shared" si="135"/>
        <v>0.9724641286573239</v>
      </c>
      <c r="T473" s="96">
        <f t="shared" si="136"/>
        <v>60.099071555555561</v>
      </c>
      <c r="U473" s="97"/>
      <c r="V473" s="97">
        <f t="shared" si="140"/>
        <v>53.379112193933061</v>
      </c>
      <c r="W473" s="96">
        <f t="shared" si="130"/>
        <v>58.444191253387501</v>
      </c>
      <c r="X473" s="96">
        <f t="shared" si="143"/>
        <v>0.76390166196461795</v>
      </c>
      <c r="Y473" s="96">
        <f t="shared" si="137"/>
        <v>0.70732593811921429</v>
      </c>
      <c r="Z473" s="96">
        <f t="shared" si="141"/>
        <v>496.75579364366916</v>
      </c>
      <c r="AA473" s="97">
        <f t="shared" si="144"/>
        <v>-90.195793643668807</v>
      </c>
      <c r="AB473" s="97">
        <f t="shared" si="145"/>
        <v>239.80420635633115</v>
      </c>
      <c r="AC473" s="97">
        <f t="shared" si="146"/>
        <v>6625.5760042346992</v>
      </c>
      <c r="AD473" s="96"/>
      <c r="AE473" s="105">
        <f t="shared" si="138"/>
        <v>16.755793643669165</v>
      </c>
    </row>
    <row r="474" spans="5:31" x14ac:dyDescent="0.35">
      <c r="E474" s="100">
        <f t="shared" si="129"/>
        <v>1.327777777777829</v>
      </c>
      <c r="F474" s="5">
        <v>20</v>
      </c>
      <c r="G474" s="5">
        <f t="shared" si="142"/>
        <v>140</v>
      </c>
      <c r="H474" s="106">
        <f t="shared" si="142"/>
        <v>3.8194444444444443E-3</v>
      </c>
      <c r="I474" s="110">
        <f t="shared" si="139"/>
        <v>1.7687499999999998E-2</v>
      </c>
      <c r="J474" s="5">
        <v>1.05</v>
      </c>
      <c r="K474" s="5">
        <v>0</v>
      </c>
      <c r="L474" s="5">
        <v>0</v>
      </c>
      <c r="N474" s="5">
        <f t="shared" si="131"/>
        <v>140</v>
      </c>
      <c r="O474" s="97">
        <f t="shared" si="132"/>
        <v>181.81818181818184</v>
      </c>
      <c r="P474" s="5">
        <f t="shared" si="133"/>
        <v>1.0349999999999999</v>
      </c>
      <c r="R474" s="96">
        <f t="shared" si="134"/>
        <v>4.1940731009518828</v>
      </c>
      <c r="S474" s="95">
        <f t="shared" si="135"/>
        <v>0.97234683256722132</v>
      </c>
      <c r="T474" s="96">
        <f t="shared" si="136"/>
        <v>60.099071555555561</v>
      </c>
      <c r="U474" s="97"/>
      <c r="V474" s="97">
        <f t="shared" si="140"/>
        <v>53.379112193933061</v>
      </c>
      <c r="W474" s="96">
        <f t="shared" si="130"/>
        <v>58.437141867275237</v>
      </c>
      <c r="X474" s="96">
        <f t="shared" si="143"/>
        <v>0.76337972724050396</v>
      </c>
      <c r="Y474" s="96">
        <f t="shared" si="137"/>
        <v>0.70146403641336008</v>
      </c>
      <c r="Z474" s="96">
        <f t="shared" si="141"/>
        <v>497.45725768008253</v>
      </c>
      <c r="AA474" s="97">
        <f t="shared" si="144"/>
        <v>-90.897257680082163</v>
      </c>
      <c r="AB474" s="97">
        <f t="shared" si="145"/>
        <v>239.10274231991778</v>
      </c>
      <c r="AC474" s="97">
        <f t="shared" si="146"/>
        <v>6639.5428163444685</v>
      </c>
      <c r="AD474" s="96"/>
      <c r="AE474" s="105">
        <f t="shared" si="138"/>
        <v>17.457257680082535</v>
      </c>
    </row>
    <row r="475" spans="5:31" x14ac:dyDescent="0.35">
      <c r="E475" s="100">
        <f t="shared" si="129"/>
        <v>1.3284722222222736</v>
      </c>
      <c r="F475" s="5">
        <v>20</v>
      </c>
      <c r="G475" s="5">
        <f t="shared" si="142"/>
        <v>140</v>
      </c>
      <c r="H475" s="106">
        <f t="shared" si="142"/>
        <v>3.8194444444444443E-3</v>
      </c>
      <c r="I475" s="110">
        <f t="shared" si="139"/>
        <v>1.7687499999999998E-2</v>
      </c>
      <c r="J475" s="5">
        <v>1.05</v>
      </c>
      <c r="K475" s="5">
        <v>0</v>
      </c>
      <c r="L475" s="5">
        <v>0</v>
      </c>
      <c r="N475" s="5">
        <f t="shared" si="131"/>
        <v>140</v>
      </c>
      <c r="O475" s="97">
        <f t="shared" si="132"/>
        <v>181.81818181818184</v>
      </c>
      <c r="P475" s="5">
        <f t="shared" si="133"/>
        <v>1.0349999999999999</v>
      </c>
      <c r="R475" s="96">
        <f t="shared" si="134"/>
        <v>4.1940731009518828</v>
      </c>
      <c r="S475" s="95">
        <f t="shared" si="135"/>
        <v>0.97223050855818294</v>
      </c>
      <c r="T475" s="96">
        <f t="shared" si="136"/>
        <v>60.099071555555561</v>
      </c>
      <c r="U475" s="97"/>
      <c r="V475" s="97">
        <f t="shared" si="140"/>
        <v>53.379112193933061</v>
      </c>
      <c r="W475" s="96">
        <f t="shared" si="130"/>
        <v>58.430150902332407</v>
      </c>
      <c r="X475" s="96">
        <f t="shared" si="143"/>
        <v>0.76286211800466175</v>
      </c>
      <c r="Y475" s="96">
        <f t="shared" si="137"/>
        <v>0.69565209110844983</v>
      </c>
      <c r="Z475" s="96">
        <f t="shared" si="141"/>
        <v>498.15290977119099</v>
      </c>
      <c r="AA475" s="97">
        <f t="shared" si="144"/>
        <v>-91.592909771190619</v>
      </c>
      <c r="AB475" s="97">
        <f t="shared" si="145"/>
        <v>238.40709022880932</v>
      </c>
      <c r="AC475" s="97">
        <f t="shared" si="146"/>
        <v>6653.5079575735153</v>
      </c>
      <c r="AD475" s="96"/>
      <c r="AE475" s="105">
        <f t="shared" si="138"/>
        <v>18.152909771190991</v>
      </c>
    </row>
    <row r="476" spans="5:31" x14ac:dyDescent="0.35">
      <c r="E476" s="100">
        <f t="shared" si="129"/>
        <v>1.3291666666667181</v>
      </c>
      <c r="F476" s="5">
        <v>20</v>
      </c>
      <c r="G476" s="5">
        <f t="shared" si="142"/>
        <v>140</v>
      </c>
      <c r="H476" s="106">
        <f t="shared" si="142"/>
        <v>3.8194444444444443E-3</v>
      </c>
      <c r="I476" s="110">
        <f t="shared" si="139"/>
        <v>1.7687499999999998E-2</v>
      </c>
      <c r="J476" s="5">
        <v>1.05</v>
      </c>
      <c r="K476" s="5">
        <v>0</v>
      </c>
      <c r="L476" s="5">
        <v>0</v>
      </c>
      <c r="N476" s="5">
        <f t="shared" si="131"/>
        <v>140</v>
      </c>
      <c r="O476" s="97">
        <f t="shared" si="132"/>
        <v>181.81818181818184</v>
      </c>
      <c r="P476" s="5">
        <f t="shared" si="133"/>
        <v>1.0349999999999999</v>
      </c>
      <c r="R476" s="96">
        <f t="shared" si="134"/>
        <v>4.1940731009518828</v>
      </c>
      <c r="S476" s="95">
        <f t="shared" si="135"/>
        <v>0.9721151483459225</v>
      </c>
      <c r="T476" s="96">
        <f t="shared" si="136"/>
        <v>60.099071555555561</v>
      </c>
      <c r="U476" s="97"/>
      <c r="V476" s="97">
        <f t="shared" si="140"/>
        <v>53.379112193933061</v>
      </c>
      <c r="W476" s="96">
        <f t="shared" si="130"/>
        <v>58.423217860681106</v>
      </c>
      <c r="X476" s="96">
        <f t="shared" si="143"/>
        <v>0.76234879739433969</v>
      </c>
      <c r="Y476" s="96">
        <f t="shared" si="137"/>
        <v>0.6898896540759426</v>
      </c>
      <c r="Z476" s="96">
        <f t="shared" si="141"/>
        <v>498.84279942526695</v>
      </c>
      <c r="AA476" s="97">
        <f t="shared" si="144"/>
        <v>-92.28279942526656</v>
      </c>
      <c r="AB476" s="97">
        <f t="shared" si="145"/>
        <v>237.71720057473337</v>
      </c>
      <c r="AC476" s="97">
        <f t="shared" si="146"/>
        <v>6667.4714417658388</v>
      </c>
      <c r="AD476" s="96"/>
      <c r="AE476" s="105">
        <f t="shared" si="138"/>
        <v>18.842799425266946</v>
      </c>
    </row>
    <row r="477" spans="5:31" x14ac:dyDescent="0.35">
      <c r="E477" s="100">
        <f t="shared" si="129"/>
        <v>1.3298611111111627</v>
      </c>
      <c r="F477" s="5">
        <v>20</v>
      </c>
      <c r="G477" s="5">
        <f t="shared" si="142"/>
        <v>140</v>
      </c>
      <c r="H477" s="106">
        <f t="shared" si="142"/>
        <v>3.8194444444444443E-3</v>
      </c>
      <c r="I477" s="110">
        <f t="shared" si="139"/>
        <v>1.7687499999999998E-2</v>
      </c>
      <c r="J477" s="5">
        <v>1.05</v>
      </c>
      <c r="K477" s="5">
        <v>0</v>
      </c>
      <c r="L477" s="5">
        <v>0</v>
      </c>
      <c r="N477" s="5">
        <f t="shared" si="131"/>
        <v>140</v>
      </c>
      <c r="O477" s="97">
        <f t="shared" si="132"/>
        <v>181.81818181818184</v>
      </c>
      <c r="P477" s="5">
        <f t="shared" si="133"/>
        <v>1.0349999999999999</v>
      </c>
      <c r="R477" s="96">
        <f t="shared" si="134"/>
        <v>4.1940731009518828</v>
      </c>
      <c r="S477" s="95">
        <f t="shared" si="135"/>
        <v>0.9720007437204673</v>
      </c>
      <c r="T477" s="96">
        <f t="shared" si="136"/>
        <v>60.099071555555561</v>
      </c>
      <c r="U477" s="97"/>
      <c r="V477" s="97">
        <f t="shared" si="140"/>
        <v>53.379112193933061</v>
      </c>
      <c r="W477" s="96">
        <f t="shared" si="130"/>
        <v>58.416342248909586</v>
      </c>
      <c r="X477" s="96">
        <f t="shared" si="143"/>
        <v>0.76183972887745954</v>
      </c>
      <c r="Y477" s="96">
        <f t="shared" si="137"/>
        <v>0.68417628156921528</v>
      </c>
      <c r="Z477" s="96">
        <f t="shared" si="141"/>
        <v>499.52697570683614</v>
      </c>
      <c r="AA477" s="97">
        <f t="shared" si="144"/>
        <v>-92.966975706835782</v>
      </c>
      <c r="AB477" s="97">
        <f t="shared" si="145"/>
        <v>237.03302429316415</v>
      </c>
      <c r="AC477" s="97">
        <f t="shared" si="146"/>
        <v>6681.4332826475093</v>
      </c>
      <c r="AD477" s="96"/>
      <c r="AE477" s="105">
        <f t="shared" si="138"/>
        <v>19.52697570683614</v>
      </c>
    </row>
    <row r="478" spans="5:31" x14ac:dyDescent="0.35">
      <c r="E478" s="100">
        <f t="shared" si="129"/>
        <v>1.3305555555556072</v>
      </c>
      <c r="F478" s="5">
        <v>20</v>
      </c>
      <c r="G478" s="5">
        <f t="shared" si="142"/>
        <v>140</v>
      </c>
      <c r="H478" s="106">
        <f t="shared" si="142"/>
        <v>3.8194444444444443E-3</v>
      </c>
      <c r="I478" s="110">
        <f t="shared" si="139"/>
        <v>1.7687499999999998E-2</v>
      </c>
      <c r="J478" s="5">
        <v>1.05</v>
      </c>
      <c r="K478" s="5">
        <v>0</v>
      </c>
      <c r="L478" s="5">
        <v>0</v>
      </c>
      <c r="N478" s="5">
        <f t="shared" si="131"/>
        <v>140</v>
      </c>
      <c r="O478" s="97">
        <f t="shared" si="132"/>
        <v>181.81818181818184</v>
      </c>
      <c r="P478" s="5">
        <f t="shared" si="133"/>
        <v>1.0349999999999999</v>
      </c>
      <c r="R478" s="96">
        <f t="shared" si="134"/>
        <v>4.1940731009518828</v>
      </c>
      <c r="S478" s="95">
        <f t="shared" si="135"/>
        <v>0.97188728654543088</v>
      </c>
      <c r="T478" s="96">
        <f t="shared" si="136"/>
        <v>60.099071555555561</v>
      </c>
      <c r="U478" s="97"/>
      <c r="V478" s="97">
        <f t="shared" si="140"/>
        <v>53.379112193933061</v>
      </c>
      <c r="W478" s="96">
        <f t="shared" si="130"/>
        <v>58.409523578028583</v>
      </c>
      <c r="X478" s="96">
        <f t="shared" si="143"/>
        <v>0.76133487624938312</v>
      </c>
      <c r="Y478" s="96">
        <f t="shared" si="137"/>
        <v>0.67851153417496424</v>
      </c>
      <c r="Z478" s="96">
        <f t="shared" si="141"/>
        <v>500.2054872410111</v>
      </c>
      <c r="AA478" s="97">
        <f t="shared" si="144"/>
        <v>-93.645487241010741</v>
      </c>
      <c r="AB478" s="97">
        <f t="shared" si="145"/>
        <v>236.35451275898919</v>
      </c>
      <c r="AC478" s="97">
        <f t="shared" si="146"/>
        <v>6695.3934938277262</v>
      </c>
      <c r="AD478" s="96"/>
      <c r="AE478" s="105">
        <f t="shared" si="138"/>
        <v>20.205487241011099</v>
      </c>
    </row>
    <row r="479" spans="5:31" x14ac:dyDescent="0.35">
      <c r="E479" s="100">
        <f t="shared" si="129"/>
        <v>1.3312500000000518</v>
      </c>
      <c r="F479" s="5">
        <v>20</v>
      </c>
      <c r="G479" s="5">
        <f t="shared" si="142"/>
        <v>140</v>
      </c>
      <c r="H479" s="106">
        <f t="shared" si="142"/>
        <v>3.8194444444444443E-3</v>
      </c>
      <c r="I479" s="110">
        <f t="shared" si="139"/>
        <v>1.7687499999999998E-2</v>
      </c>
      <c r="J479" s="5">
        <v>1.05</v>
      </c>
      <c r="K479" s="5">
        <v>0</v>
      </c>
      <c r="L479" s="5">
        <v>0</v>
      </c>
      <c r="N479" s="5">
        <f t="shared" si="131"/>
        <v>140</v>
      </c>
      <c r="O479" s="97">
        <f t="shared" si="132"/>
        <v>181.81818181818184</v>
      </c>
      <c r="P479" s="5">
        <f t="shared" si="133"/>
        <v>1.0349999999999999</v>
      </c>
      <c r="R479" s="96">
        <f t="shared" si="134"/>
        <v>4.1940731009518828</v>
      </c>
      <c r="S479" s="95">
        <f t="shared" si="135"/>
        <v>0.97177476875729518</v>
      </c>
      <c r="T479" s="96">
        <f t="shared" si="136"/>
        <v>60.099071555555561</v>
      </c>
      <c r="U479" s="97"/>
      <c r="V479" s="97">
        <f t="shared" si="140"/>
        <v>53.379112193933061</v>
      </c>
      <c r="W479" s="96">
        <f t="shared" si="130"/>
        <v>58.402761363428141</v>
      </c>
      <c r="X479" s="96">
        <f t="shared" si="143"/>
        <v>0.76083420362971443</v>
      </c>
      <c r="Y479" s="96">
        <f t="shared" si="137"/>
        <v>0.67289497676522891</v>
      </c>
      <c r="Z479" s="96">
        <f t="shared" si="141"/>
        <v>500.87838221777633</v>
      </c>
      <c r="AA479" s="97">
        <f t="shared" si="144"/>
        <v>-94.318382217775977</v>
      </c>
      <c r="AB479" s="97">
        <f t="shared" si="145"/>
        <v>235.68161778222395</v>
      </c>
      <c r="AC479" s="97">
        <f t="shared" si="146"/>
        <v>6709.3520887998648</v>
      </c>
      <c r="AD479" s="96"/>
      <c r="AE479" s="105">
        <f t="shared" si="138"/>
        <v>20.878382217776334</v>
      </c>
    </row>
    <row r="480" spans="5:31" x14ac:dyDescent="0.35">
      <c r="E480" s="100">
        <f t="shared" si="129"/>
        <v>1.3319444444444963</v>
      </c>
      <c r="F480" s="5">
        <v>20</v>
      </c>
      <c r="G480" s="5">
        <f t="shared" si="142"/>
        <v>140</v>
      </c>
      <c r="H480" s="106">
        <f t="shared" si="142"/>
        <v>3.8194444444444443E-3</v>
      </c>
      <c r="I480" s="110">
        <f t="shared" si="139"/>
        <v>1.7687499999999998E-2</v>
      </c>
      <c r="J480" s="5">
        <v>1.05</v>
      </c>
      <c r="K480" s="5">
        <v>0</v>
      </c>
      <c r="L480" s="5">
        <v>0</v>
      </c>
      <c r="N480" s="5">
        <f t="shared" si="131"/>
        <v>140</v>
      </c>
      <c r="O480" s="97">
        <f t="shared" si="132"/>
        <v>181.81818181818184</v>
      </c>
      <c r="P480" s="5">
        <f t="shared" si="133"/>
        <v>1.0349999999999999</v>
      </c>
      <c r="R480" s="96">
        <f t="shared" si="134"/>
        <v>4.1940731009518828</v>
      </c>
      <c r="S480" s="95">
        <f t="shared" si="135"/>
        <v>0.97166318236469917</v>
      </c>
      <c r="T480" s="96">
        <f t="shared" si="136"/>
        <v>60.099071555555561</v>
      </c>
      <c r="U480" s="97"/>
      <c r="V480" s="97">
        <f t="shared" si="140"/>
        <v>53.379112193933061</v>
      </c>
      <c r="W480" s="96">
        <f t="shared" si="130"/>
        <v>58.396055124834888</v>
      </c>
      <c r="X480" s="96">
        <f t="shared" si="143"/>
        <v>0.760337675459138</v>
      </c>
      <c r="Y480" s="96">
        <f t="shared" si="137"/>
        <v>0.66732617845004205</v>
      </c>
      <c r="Z480" s="96">
        <f t="shared" si="141"/>
        <v>501.54570839622636</v>
      </c>
      <c r="AA480" s="97">
        <f t="shared" si="144"/>
        <v>-94.985708396226016</v>
      </c>
      <c r="AB480" s="97">
        <f t="shared" si="145"/>
        <v>235.0142916037739</v>
      </c>
      <c r="AC480" s="97">
        <f t="shared" si="146"/>
        <v>6723.3090809425121</v>
      </c>
      <c r="AD480" s="96"/>
      <c r="AE480" s="105">
        <f t="shared" si="138"/>
        <v>21.54570839622636</v>
      </c>
    </row>
    <row r="481" spans="5:31" x14ac:dyDescent="0.35">
      <c r="E481" s="100">
        <f t="shared" si="129"/>
        <v>1.3326388888889409</v>
      </c>
      <c r="F481" s="5">
        <v>20</v>
      </c>
      <c r="G481" s="5">
        <f t="shared" si="142"/>
        <v>140</v>
      </c>
      <c r="H481" s="106">
        <f t="shared" si="142"/>
        <v>3.8194444444444443E-3</v>
      </c>
      <c r="I481" s="110">
        <f t="shared" si="139"/>
        <v>1.7687499999999998E-2</v>
      </c>
      <c r="J481" s="5">
        <v>1.05</v>
      </c>
      <c r="K481" s="5">
        <v>0</v>
      </c>
      <c r="L481" s="5">
        <v>0</v>
      </c>
      <c r="N481" s="5">
        <f t="shared" si="131"/>
        <v>140</v>
      </c>
      <c r="O481" s="97">
        <f t="shared" si="132"/>
        <v>181.81818181818184</v>
      </c>
      <c r="P481" s="5">
        <f t="shared" si="133"/>
        <v>1.0349999999999999</v>
      </c>
      <c r="R481" s="96">
        <f t="shared" si="134"/>
        <v>4.1940731009518828</v>
      </c>
      <c r="S481" s="95">
        <f t="shared" si="135"/>
        <v>0.97155251944773691</v>
      </c>
      <c r="T481" s="96">
        <f t="shared" si="136"/>
        <v>60.099071555555561</v>
      </c>
      <c r="U481" s="97"/>
      <c r="V481" s="97">
        <f t="shared" si="140"/>
        <v>53.379112193933061</v>
      </c>
      <c r="W481" s="96">
        <f t="shared" si="130"/>
        <v>58.389404386269824</v>
      </c>
      <c r="X481" s="96">
        <f t="shared" si="143"/>
        <v>0.7598452564962912</v>
      </c>
      <c r="Y481" s="96">
        <f t="shared" si="137"/>
        <v>0.66180471253067996</v>
      </c>
      <c r="Z481" s="96">
        <f t="shared" si="141"/>
        <v>502.20751310875704</v>
      </c>
      <c r="AA481" s="97">
        <f t="shared" si="144"/>
        <v>-95.647513108756698</v>
      </c>
      <c r="AB481" s="97">
        <f t="shared" si="145"/>
        <v>234.35248689124322</v>
      </c>
      <c r="AC481" s="97">
        <f t="shared" si="146"/>
        <v>6737.2644835204928</v>
      </c>
      <c r="AD481" s="96"/>
      <c r="AE481" s="105">
        <f t="shared" si="138"/>
        <v>22.207513108757041</v>
      </c>
    </row>
    <row r="482" spans="5:31" x14ac:dyDescent="0.35">
      <c r="E482" s="100">
        <f t="shared" si="129"/>
        <v>1.3333333333333854</v>
      </c>
      <c r="F482" s="5">
        <v>20</v>
      </c>
      <c r="G482" s="5">
        <f t="shared" si="142"/>
        <v>140</v>
      </c>
      <c r="H482" s="106">
        <f t="shared" si="142"/>
        <v>3.8194444444444443E-3</v>
      </c>
      <c r="I482" s="110">
        <f t="shared" si="139"/>
        <v>1.7687499999999998E-2</v>
      </c>
      <c r="J482" s="5">
        <v>1.05</v>
      </c>
      <c r="K482" s="5">
        <v>0</v>
      </c>
      <c r="L482" s="5">
        <v>0</v>
      </c>
      <c r="N482" s="5">
        <f t="shared" si="131"/>
        <v>140</v>
      </c>
      <c r="O482" s="97">
        <f t="shared" si="132"/>
        <v>181.81818181818184</v>
      </c>
      <c r="P482" s="5">
        <f t="shared" si="133"/>
        <v>1.04</v>
      </c>
      <c r="R482" s="96">
        <f t="shared" si="134"/>
        <v>4.2143343236617961</v>
      </c>
      <c r="S482" s="95">
        <f t="shared" si="135"/>
        <v>0.97144277215726182</v>
      </c>
      <c r="T482" s="96">
        <f t="shared" si="136"/>
        <v>60.099071555555561</v>
      </c>
      <c r="U482" s="97"/>
      <c r="V482" s="97">
        <f t="shared" si="140"/>
        <v>53.636982301150141</v>
      </c>
      <c r="W482" s="96">
        <f t="shared" si="130"/>
        <v>58.382808676006533</v>
      </c>
      <c r="X482" s="96">
        <f t="shared" si="143"/>
        <v>0.75935691181467169</v>
      </c>
      <c r="Y482" s="96">
        <f t="shared" si="137"/>
        <v>0.65633015645351733</v>
      </c>
      <c r="Z482" s="96">
        <f t="shared" si="141"/>
        <v>502.86384326521056</v>
      </c>
      <c r="AA482" s="97">
        <f t="shared" si="144"/>
        <v>-96.303843265210219</v>
      </c>
      <c r="AB482" s="97">
        <f t="shared" si="145"/>
        <v>263.69615673478972</v>
      </c>
      <c r="AC482" s="97">
        <f t="shared" si="146"/>
        <v>6751.2183096858862</v>
      </c>
      <c r="AD482" s="96"/>
      <c r="AE482" s="105">
        <f t="shared" si="138"/>
        <v>22.863843265210562</v>
      </c>
    </row>
    <row r="483" spans="5:31" x14ac:dyDescent="0.35">
      <c r="E483" s="93"/>
      <c r="S483" s="95"/>
      <c r="T483" s="94"/>
      <c r="U483" s="97"/>
      <c r="V483" s="97"/>
      <c r="W483" s="96"/>
      <c r="X483" s="96"/>
      <c r="Y483" s="96"/>
      <c r="Z483" s="96"/>
      <c r="AA483" s="96"/>
      <c r="AB483" s="96"/>
      <c r="AC483" s="96"/>
      <c r="AD483" s="96"/>
    </row>
    <row r="484" spans="5:31" x14ac:dyDescent="0.35">
      <c r="E484" s="93"/>
      <c r="S484" s="95"/>
      <c r="T484" s="94"/>
      <c r="U484" s="97"/>
      <c r="V484" s="97"/>
      <c r="W484" s="96"/>
      <c r="X484" s="96"/>
      <c r="Y484" s="96"/>
      <c r="Z484" s="96"/>
      <c r="AA484" s="96"/>
      <c r="AB484" s="96"/>
      <c r="AC484" s="96"/>
      <c r="AD484" s="96"/>
    </row>
    <row r="485" spans="5:31" x14ac:dyDescent="0.35">
      <c r="E485" s="93"/>
      <c r="S485" s="95"/>
      <c r="T485" s="94"/>
      <c r="U485" s="97"/>
      <c r="V485" s="97"/>
      <c r="W485" s="96"/>
      <c r="X485" s="96"/>
      <c r="Y485" s="96"/>
      <c r="Z485" s="96"/>
      <c r="AA485" s="96"/>
      <c r="AB485" s="96"/>
      <c r="AC485" s="96"/>
      <c r="AD485" s="96"/>
    </row>
    <row r="486" spans="5:31" x14ac:dyDescent="0.35">
      <c r="E486" s="93"/>
      <c r="S486" s="95"/>
      <c r="T486" s="94"/>
      <c r="U486" s="97"/>
      <c r="V486" s="97"/>
      <c r="W486" s="96"/>
      <c r="X486" s="96"/>
      <c r="Y486" s="96"/>
      <c r="Z486" s="96"/>
      <c r="AA486" s="96"/>
      <c r="AB486" s="96"/>
      <c r="AC486" s="96"/>
      <c r="AD486" s="96"/>
    </row>
    <row r="487" spans="5:31" x14ac:dyDescent="0.35">
      <c r="E487" s="93"/>
      <c r="S487" s="95"/>
      <c r="T487" s="94"/>
      <c r="U487" s="97"/>
      <c r="V487" s="97"/>
      <c r="W487" s="96"/>
      <c r="X487" s="96"/>
      <c r="Y487" s="96"/>
      <c r="Z487" s="96"/>
      <c r="AA487" s="96"/>
      <c r="AB487" s="96"/>
      <c r="AC487" s="96"/>
      <c r="AD487" s="96"/>
    </row>
    <row r="488" spans="5:31" x14ac:dyDescent="0.35">
      <c r="E488" s="93"/>
      <c r="S488" s="95"/>
      <c r="T488" s="94"/>
      <c r="U488" s="97"/>
      <c r="V488" s="97"/>
      <c r="W488" s="96"/>
      <c r="X488" s="96"/>
      <c r="Y488" s="96"/>
      <c r="Z488" s="96"/>
      <c r="AA488" s="96"/>
      <c r="AB488" s="96"/>
      <c r="AC488" s="96"/>
      <c r="AD488" s="96"/>
    </row>
    <row r="489" spans="5:31" x14ac:dyDescent="0.35">
      <c r="E489" s="93"/>
      <c r="S489" s="95"/>
      <c r="T489" s="94"/>
      <c r="U489" s="97"/>
      <c r="V489" s="97"/>
      <c r="W489" s="96"/>
      <c r="X489" s="96"/>
      <c r="Y489" s="96"/>
      <c r="Z489" s="96"/>
      <c r="AA489" s="96"/>
      <c r="AB489" s="96"/>
      <c r="AC489" s="96"/>
      <c r="AD489" s="96"/>
    </row>
    <row r="490" spans="5:31" x14ac:dyDescent="0.35">
      <c r="E490" s="93"/>
      <c r="S490" s="95"/>
      <c r="T490" s="94"/>
      <c r="U490" s="97"/>
      <c r="V490" s="97"/>
      <c r="W490" s="96"/>
      <c r="X490" s="96"/>
      <c r="Y490" s="96"/>
      <c r="Z490" s="96"/>
      <c r="AA490" s="96"/>
      <c r="AB490" s="96"/>
      <c r="AC490" s="96"/>
      <c r="AD490" s="96"/>
    </row>
    <row r="491" spans="5:31" x14ac:dyDescent="0.35">
      <c r="E491" s="93"/>
      <c r="S491" s="95"/>
      <c r="T491" s="94"/>
      <c r="U491" s="97"/>
      <c r="V491" s="97"/>
      <c r="W491" s="96"/>
      <c r="X491" s="96"/>
      <c r="Y491" s="96"/>
      <c r="Z491" s="96"/>
      <c r="AA491" s="96"/>
      <c r="AB491" s="96"/>
      <c r="AC491" s="96"/>
      <c r="AD491" s="96"/>
    </row>
    <row r="492" spans="5:31" x14ac:dyDescent="0.35">
      <c r="E492" s="93"/>
      <c r="S492" s="95"/>
      <c r="T492" s="94"/>
      <c r="U492" s="97"/>
      <c r="V492" s="97"/>
      <c r="W492" s="96"/>
      <c r="X492" s="96"/>
      <c r="Y492" s="96"/>
      <c r="Z492" s="96"/>
      <c r="AA492" s="96"/>
      <c r="AB492" s="96"/>
      <c r="AC492" s="96"/>
      <c r="AD492" s="96"/>
    </row>
    <row r="493" spans="5:31" x14ac:dyDescent="0.35">
      <c r="E493" s="93"/>
      <c r="S493" s="95"/>
      <c r="T493" s="94"/>
      <c r="U493" s="97"/>
      <c r="V493" s="97"/>
      <c r="W493" s="96"/>
      <c r="X493" s="96"/>
      <c r="Y493" s="96"/>
      <c r="Z493" s="96"/>
      <c r="AA493" s="96"/>
      <c r="AB493" s="96"/>
      <c r="AC493" s="96"/>
      <c r="AD493" s="96"/>
    </row>
    <row r="494" spans="5:31" x14ac:dyDescent="0.35">
      <c r="E494" s="93"/>
      <c r="S494" s="95"/>
      <c r="T494" s="94"/>
      <c r="U494" s="97"/>
      <c r="V494" s="97"/>
      <c r="W494" s="96"/>
      <c r="X494" s="96"/>
      <c r="Y494" s="96"/>
      <c r="Z494" s="96"/>
      <c r="AA494" s="96"/>
      <c r="AB494" s="96"/>
      <c r="AC494" s="96"/>
      <c r="AD494" s="96"/>
    </row>
    <row r="495" spans="5:31" x14ac:dyDescent="0.35">
      <c r="E495" s="93"/>
      <c r="S495" s="95"/>
      <c r="T495" s="94"/>
      <c r="U495" s="97"/>
      <c r="V495" s="97"/>
      <c r="W495" s="96"/>
      <c r="X495" s="96"/>
      <c r="Y495" s="96"/>
      <c r="Z495" s="96"/>
      <c r="AA495" s="96"/>
      <c r="AB495" s="96"/>
      <c r="AC495" s="96"/>
      <c r="AD495" s="96"/>
    </row>
    <row r="496" spans="5:31" x14ac:dyDescent="0.35">
      <c r="E496" s="93"/>
      <c r="S496" s="95"/>
      <c r="T496" s="94"/>
      <c r="U496" s="97"/>
      <c r="V496" s="97"/>
      <c r="W496" s="96"/>
      <c r="X496" s="96"/>
      <c r="Y496" s="96"/>
      <c r="Z496" s="96"/>
      <c r="AA496" s="96"/>
      <c r="AB496" s="96"/>
      <c r="AC496" s="96"/>
      <c r="AD496" s="96"/>
    </row>
    <row r="497" spans="5:30" x14ac:dyDescent="0.35">
      <c r="E497" s="93"/>
      <c r="S497" s="95"/>
      <c r="T497" s="94"/>
      <c r="U497" s="97"/>
      <c r="V497" s="97"/>
      <c r="W497" s="96"/>
      <c r="X497" s="96"/>
      <c r="Y497" s="96"/>
      <c r="Z497" s="96"/>
      <c r="AA497" s="96"/>
      <c r="AB497" s="96"/>
      <c r="AC497" s="96"/>
      <c r="AD497" s="96"/>
    </row>
    <row r="498" spans="5:30" x14ac:dyDescent="0.35">
      <c r="E498" s="93"/>
      <c r="S498" s="95"/>
      <c r="T498" s="94"/>
      <c r="U498" s="97"/>
      <c r="V498" s="97"/>
      <c r="W498" s="96"/>
      <c r="X498" s="96"/>
      <c r="Y498" s="96"/>
      <c r="Z498" s="96"/>
      <c r="AA498" s="96"/>
      <c r="AB498" s="96"/>
      <c r="AC498" s="96"/>
      <c r="AD498" s="96"/>
    </row>
    <row r="499" spans="5:30" x14ac:dyDescent="0.35">
      <c r="E499" s="93"/>
      <c r="S499" s="95"/>
      <c r="T499" s="94"/>
      <c r="U499" s="97"/>
      <c r="V499" s="97"/>
      <c r="W499" s="96"/>
      <c r="X499" s="96"/>
      <c r="Y499" s="96"/>
      <c r="Z499" s="96"/>
      <c r="AA499" s="96"/>
      <c r="AB499" s="96"/>
      <c r="AC499" s="96"/>
      <c r="AD499" s="96"/>
    </row>
    <row r="500" spans="5:30" x14ac:dyDescent="0.35">
      <c r="E500" s="93"/>
      <c r="S500" s="95"/>
      <c r="T500" s="94"/>
      <c r="U500" s="97"/>
      <c r="V500" s="97"/>
      <c r="W500" s="96"/>
      <c r="X500" s="96"/>
      <c r="Y500" s="96"/>
      <c r="Z500" s="96"/>
      <c r="AA500" s="96"/>
      <c r="AB500" s="96"/>
      <c r="AC500" s="96"/>
      <c r="AD500" s="96"/>
    </row>
    <row r="501" spans="5:30" x14ac:dyDescent="0.35">
      <c r="E501" s="93"/>
      <c r="S501" s="95"/>
      <c r="T501" s="94"/>
      <c r="U501" s="97"/>
      <c r="V501" s="97"/>
      <c r="W501" s="96"/>
      <c r="X501" s="96"/>
      <c r="Y501" s="96"/>
      <c r="Z501" s="96"/>
      <c r="AA501" s="96"/>
      <c r="AB501" s="96"/>
      <c r="AC501" s="96"/>
      <c r="AD501" s="96"/>
    </row>
    <row r="502" spans="5:30" x14ac:dyDescent="0.35">
      <c r="E502" s="93"/>
      <c r="S502" s="95"/>
      <c r="T502" s="94"/>
      <c r="U502" s="97"/>
      <c r="V502" s="97"/>
      <c r="W502" s="96"/>
      <c r="X502" s="96"/>
      <c r="Y502" s="96"/>
      <c r="Z502" s="96"/>
      <c r="AA502" s="96"/>
      <c r="AB502" s="96"/>
      <c r="AC502" s="96"/>
      <c r="AD502" s="96"/>
    </row>
    <row r="503" spans="5:30" x14ac:dyDescent="0.35">
      <c r="E503" s="93"/>
      <c r="S503" s="95"/>
      <c r="T503" s="94"/>
      <c r="U503" s="97"/>
      <c r="V503" s="97"/>
      <c r="W503" s="96"/>
      <c r="X503" s="96"/>
      <c r="Y503" s="96"/>
      <c r="Z503" s="96"/>
      <c r="AA503" s="96"/>
      <c r="AB503" s="96"/>
      <c r="AC503" s="96"/>
      <c r="AD503" s="96"/>
    </row>
    <row r="504" spans="5:30" x14ac:dyDescent="0.35">
      <c r="E504" s="93"/>
      <c r="S504" s="95"/>
      <c r="T504" s="94"/>
      <c r="U504" s="97"/>
      <c r="V504" s="97"/>
      <c r="W504" s="96"/>
      <c r="X504" s="96"/>
      <c r="Y504" s="96"/>
      <c r="Z504" s="96"/>
      <c r="AA504" s="96"/>
      <c r="AB504" s="96"/>
      <c r="AC504" s="96"/>
      <c r="AD504" s="96"/>
    </row>
    <row r="505" spans="5:30" x14ac:dyDescent="0.35">
      <c r="E505" s="93"/>
      <c r="S505" s="95"/>
      <c r="T505" s="94"/>
      <c r="U505" s="97"/>
      <c r="V505" s="97"/>
      <c r="W505" s="96"/>
      <c r="X505" s="96"/>
      <c r="Y505" s="96"/>
      <c r="Z505" s="96"/>
      <c r="AA505" s="96"/>
      <c r="AB505" s="96"/>
      <c r="AC505" s="96"/>
      <c r="AD505" s="96"/>
    </row>
  </sheetData>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2</vt:i4>
      </vt:variant>
    </vt:vector>
  </HeadingPairs>
  <TitlesOfParts>
    <vt:vector size="2" baseType="lpstr">
      <vt:lpstr>Calculator</vt:lpstr>
      <vt:lpstr>Uurlijkse calc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Robin Boel</cp:lastModifiedBy>
  <cp:revision/>
  <dcterms:created xsi:type="dcterms:W3CDTF">2026-04-13T15:11:06Z</dcterms:created>
  <dcterms:modified xsi:type="dcterms:W3CDTF">2026-06-09T18:13:06Z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3f08ec5-d6d9-4227-8387-ccbfcb3632c4_Enabled">
    <vt:lpwstr>true</vt:lpwstr>
  </property>
  <property fmtid="{D5CDD505-2E9C-101B-9397-08002B2CF9AE}" pid="3" name="MSIP_Label_43f08ec5-d6d9-4227-8387-ccbfcb3632c4_SetDate">
    <vt:lpwstr>2026-04-13T15:51:13Z</vt:lpwstr>
  </property>
  <property fmtid="{D5CDD505-2E9C-101B-9397-08002B2CF9AE}" pid="4" name="MSIP_Label_43f08ec5-d6d9-4227-8387-ccbfcb3632c4_Method">
    <vt:lpwstr>Standard</vt:lpwstr>
  </property>
  <property fmtid="{D5CDD505-2E9C-101B-9397-08002B2CF9AE}" pid="5" name="MSIP_Label_43f08ec5-d6d9-4227-8387-ccbfcb3632c4_Name">
    <vt:lpwstr>Sweco Restricted</vt:lpwstr>
  </property>
  <property fmtid="{D5CDD505-2E9C-101B-9397-08002B2CF9AE}" pid="6" name="MSIP_Label_43f08ec5-d6d9-4227-8387-ccbfcb3632c4_SiteId">
    <vt:lpwstr>b7872ef0-9a00-4c18-8a4a-c7d25c778a9e</vt:lpwstr>
  </property>
  <property fmtid="{D5CDD505-2E9C-101B-9397-08002B2CF9AE}" pid="7" name="MSIP_Label_43f08ec5-d6d9-4227-8387-ccbfcb3632c4_ActionId">
    <vt:lpwstr>aa50e9e1-a877-4118-a095-ad93562b947e</vt:lpwstr>
  </property>
  <property fmtid="{D5CDD505-2E9C-101B-9397-08002B2CF9AE}" pid="8" name="MSIP_Label_43f08ec5-d6d9-4227-8387-ccbfcb3632c4_ContentBits">
    <vt:lpwstr>0</vt:lpwstr>
  </property>
  <property fmtid="{D5CDD505-2E9C-101B-9397-08002B2CF9AE}" pid="9" name="MSIP_Label_43f08ec5-d6d9-4227-8387-ccbfcb3632c4_Tag">
    <vt:lpwstr>10, 3, 0, 1</vt:lpwstr>
  </property>
</Properties>
</file>